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sheet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/>
  <workbookPr defaultThemeVersion="202300"/>
  <mc:AlternateContent xmlns:mc="http://schemas.openxmlformats.org/markup-compatibility/2006">
    <mc:Choice Requires="x15">
      <x15ac:absPath xmlns:x15ac="http://schemas.microsoft.com/office/spreadsheetml/2010/11/ac" url="https://mgonline-my.sharepoint.com/personal/hamadi_chkondali_smg_com_tn/Documents/Documents/hamadi/grands compte/hamadi/dashbord convention/table vente/2025/"/>
    </mc:Choice>
  </mc:AlternateContent>
  <xr:revisionPtr revIDLastSave="0" documentId="8_{AAE91042-C576-491B-94A7-450EC9020264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Factures ventes enregistrées VC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157" i="1" l="1"/>
  <c r="Z157" i="1"/>
  <c r="X157" i="1"/>
  <c r="W157" i="1"/>
  <c r="AA156" i="1"/>
  <c r="Z156" i="1"/>
  <c r="X156" i="1"/>
  <c r="W156" i="1"/>
  <c r="AA155" i="1"/>
  <c r="Z155" i="1"/>
  <c r="X155" i="1"/>
  <c r="W155" i="1"/>
  <c r="AA154" i="1"/>
  <c r="Z154" i="1"/>
  <c r="X154" i="1"/>
  <c r="W154" i="1"/>
  <c r="AA153" i="1"/>
  <c r="Z153" i="1"/>
  <c r="X153" i="1"/>
  <c r="W153" i="1"/>
  <c r="AA152" i="1"/>
  <c r="Z152" i="1"/>
  <c r="X152" i="1"/>
  <c r="W152" i="1"/>
  <c r="AA151" i="1"/>
  <c r="Z151" i="1"/>
  <c r="X151" i="1"/>
  <c r="W151" i="1"/>
  <c r="AA150" i="1"/>
  <c r="Z150" i="1"/>
  <c r="X150" i="1"/>
  <c r="W150" i="1"/>
  <c r="AA149" i="1"/>
  <c r="Z149" i="1"/>
  <c r="X149" i="1"/>
  <c r="W149" i="1"/>
  <c r="AA148" i="1"/>
  <c r="Z148" i="1"/>
  <c r="X148" i="1"/>
  <c r="W148" i="1"/>
  <c r="AA147" i="1"/>
  <c r="Z147" i="1"/>
  <c r="X147" i="1"/>
  <c r="W147" i="1"/>
  <c r="AA146" i="1"/>
  <c r="Z146" i="1"/>
  <c r="X146" i="1"/>
  <c r="W146" i="1"/>
  <c r="AA145" i="1"/>
  <c r="Z145" i="1"/>
  <c r="X145" i="1"/>
  <c r="W145" i="1"/>
  <c r="AA144" i="1"/>
  <c r="Z144" i="1"/>
  <c r="X144" i="1"/>
  <c r="W144" i="1"/>
  <c r="AA143" i="1"/>
  <c r="Z143" i="1"/>
  <c r="X143" i="1"/>
  <c r="W143" i="1"/>
  <c r="AA142" i="1"/>
  <c r="Z142" i="1"/>
  <c r="X142" i="1"/>
  <c r="W142" i="1"/>
  <c r="AA141" i="1"/>
  <c r="Z141" i="1"/>
  <c r="X141" i="1"/>
  <c r="W141" i="1"/>
  <c r="AA140" i="1"/>
  <c r="Z140" i="1"/>
  <c r="X140" i="1"/>
  <c r="W140" i="1"/>
  <c r="AA139" i="1"/>
  <c r="Z139" i="1"/>
  <c r="X139" i="1"/>
  <c r="W139" i="1"/>
  <c r="AA138" i="1"/>
  <c r="Z138" i="1"/>
  <c r="X138" i="1"/>
  <c r="W138" i="1"/>
  <c r="AA137" i="1"/>
  <c r="Z137" i="1"/>
  <c r="X137" i="1"/>
  <c r="W137" i="1"/>
  <c r="AA136" i="1"/>
  <c r="Z136" i="1"/>
  <c r="X136" i="1"/>
  <c r="W136" i="1"/>
  <c r="AA135" i="1"/>
  <c r="Z135" i="1"/>
  <c r="X135" i="1"/>
  <c r="W135" i="1"/>
  <c r="AA134" i="1"/>
  <c r="Z134" i="1"/>
  <c r="X134" i="1"/>
  <c r="W134" i="1"/>
  <c r="AA133" i="1"/>
  <c r="Z133" i="1"/>
  <c r="X133" i="1"/>
  <c r="W133" i="1"/>
  <c r="AA132" i="1"/>
  <c r="Z132" i="1"/>
  <c r="X132" i="1"/>
  <c r="W132" i="1"/>
  <c r="AA131" i="1"/>
  <c r="Z131" i="1"/>
  <c r="X131" i="1"/>
  <c r="W131" i="1"/>
  <c r="AA130" i="1"/>
  <c r="Z130" i="1"/>
  <c r="X130" i="1"/>
  <c r="W130" i="1"/>
  <c r="AA129" i="1"/>
  <c r="Z129" i="1"/>
  <c r="X129" i="1"/>
  <c r="W129" i="1"/>
  <c r="AA128" i="1"/>
  <c r="Z128" i="1"/>
  <c r="X128" i="1"/>
  <c r="W128" i="1"/>
  <c r="AA127" i="1"/>
  <c r="Z127" i="1"/>
  <c r="X127" i="1"/>
  <c r="W127" i="1"/>
  <c r="AA126" i="1"/>
  <c r="Z126" i="1"/>
  <c r="X126" i="1"/>
  <c r="W126" i="1"/>
  <c r="AA125" i="1"/>
  <c r="Z125" i="1"/>
  <c r="X125" i="1"/>
  <c r="W125" i="1"/>
  <c r="AA124" i="1"/>
  <c r="Z124" i="1"/>
  <c r="X124" i="1"/>
  <c r="W124" i="1"/>
  <c r="AA123" i="1"/>
  <c r="Z123" i="1"/>
  <c r="X123" i="1"/>
  <c r="W123" i="1"/>
  <c r="AA122" i="1"/>
  <c r="Z122" i="1"/>
  <c r="X122" i="1"/>
  <c r="W122" i="1"/>
  <c r="AA121" i="1"/>
  <c r="Z121" i="1"/>
  <c r="X121" i="1"/>
  <c r="W121" i="1"/>
  <c r="AA120" i="1"/>
  <c r="Z120" i="1"/>
  <c r="X120" i="1"/>
  <c r="W120" i="1"/>
  <c r="AA119" i="1"/>
  <c r="Z119" i="1"/>
  <c r="X119" i="1"/>
  <c r="W119" i="1"/>
  <c r="AA118" i="1"/>
  <c r="Z118" i="1"/>
  <c r="X118" i="1"/>
  <c r="W118" i="1"/>
  <c r="AA117" i="1"/>
  <c r="Z117" i="1"/>
  <c r="X117" i="1"/>
  <c r="W117" i="1"/>
  <c r="AA116" i="1"/>
  <c r="Z116" i="1"/>
  <c r="X116" i="1"/>
  <c r="W116" i="1"/>
  <c r="AA115" i="1"/>
  <c r="Z115" i="1"/>
  <c r="X115" i="1"/>
  <c r="W115" i="1"/>
  <c r="AA114" i="1"/>
  <c r="Z114" i="1"/>
  <c r="X114" i="1"/>
  <c r="W114" i="1"/>
  <c r="AA113" i="1"/>
  <c r="Z113" i="1"/>
  <c r="X113" i="1"/>
  <c r="W113" i="1"/>
  <c r="AA112" i="1"/>
  <c r="Z112" i="1"/>
  <c r="X112" i="1"/>
  <c r="W112" i="1"/>
  <c r="AA111" i="1"/>
  <c r="Z111" i="1"/>
  <c r="X111" i="1"/>
  <c r="W111" i="1"/>
  <c r="AA110" i="1"/>
  <c r="Z110" i="1"/>
  <c r="X110" i="1"/>
  <c r="W110" i="1"/>
  <c r="AA109" i="1"/>
  <c r="Z109" i="1"/>
  <c r="X109" i="1"/>
  <c r="W109" i="1"/>
  <c r="AA108" i="1"/>
  <c r="Z108" i="1"/>
  <c r="X108" i="1"/>
  <c r="W108" i="1"/>
  <c r="AA107" i="1"/>
  <c r="Z107" i="1"/>
  <c r="X107" i="1"/>
  <c r="W107" i="1"/>
  <c r="AA106" i="1"/>
  <c r="Z106" i="1"/>
  <c r="X106" i="1"/>
  <c r="W106" i="1"/>
  <c r="AA105" i="1"/>
  <c r="Z105" i="1"/>
  <c r="X105" i="1"/>
  <c r="W105" i="1"/>
  <c r="AA104" i="1"/>
  <c r="Z104" i="1"/>
  <c r="X104" i="1"/>
  <c r="W104" i="1"/>
  <c r="AA103" i="1"/>
  <c r="Z103" i="1"/>
  <c r="X103" i="1"/>
  <c r="W103" i="1"/>
  <c r="AA102" i="1"/>
  <c r="Z102" i="1"/>
  <c r="X102" i="1"/>
  <c r="W102" i="1"/>
  <c r="AA101" i="1"/>
  <c r="Z101" i="1"/>
  <c r="X101" i="1"/>
  <c r="W101" i="1"/>
  <c r="AA100" i="1"/>
  <c r="Z100" i="1"/>
  <c r="X100" i="1"/>
  <c r="W100" i="1"/>
  <c r="AA99" i="1"/>
  <c r="Z99" i="1"/>
  <c r="X99" i="1"/>
  <c r="W99" i="1"/>
  <c r="AA98" i="1"/>
  <c r="Z98" i="1"/>
  <c r="X98" i="1"/>
  <c r="W98" i="1"/>
  <c r="AA97" i="1"/>
  <c r="Z97" i="1"/>
  <c r="X97" i="1"/>
  <c r="W97" i="1"/>
  <c r="AA96" i="1"/>
  <c r="Z96" i="1"/>
  <c r="X96" i="1"/>
  <c r="W96" i="1"/>
  <c r="AA95" i="1"/>
  <c r="Z95" i="1"/>
  <c r="X95" i="1"/>
  <c r="W95" i="1"/>
  <c r="AA94" i="1"/>
  <c r="Z94" i="1"/>
  <c r="X94" i="1"/>
  <c r="W94" i="1"/>
  <c r="AA93" i="1"/>
  <c r="Z93" i="1"/>
  <c r="X93" i="1"/>
  <c r="W93" i="1"/>
  <c r="AA92" i="1"/>
  <c r="Z92" i="1"/>
  <c r="X92" i="1"/>
  <c r="W92" i="1"/>
  <c r="AA91" i="1"/>
  <c r="Z91" i="1"/>
  <c r="X91" i="1"/>
  <c r="W91" i="1"/>
  <c r="AA90" i="1"/>
  <c r="Z90" i="1"/>
  <c r="X90" i="1"/>
  <c r="W90" i="1"/>
  <c r="AA89" i="1"/>
  <c r="Z89" i="1"/>
  <c r="X89" i="1"/>
  <c r="W89" i="1"/>
  <c r="AA88" i="1"/>
  <c r="Z88" i="1"/>
  <c r="X88" i="1"/>
  <c r="W88" i="1"/>
  <c r="AA87" i="1"/>
  <c r="Z87" i="1"/>
  <c r="X87" i="1"/>
  <c r="W87" i="1"/>
  <c r="AA86" i="1"/>
  <c r="Z86" i="1"/>
  <c r="X86" i="1"/>
  <c r="W86" i="1"/>
  <c r="AA85" i="1"/>
  <c r="Z85" i="1"/>
  <c r="X85" i="1"/>
  <c r="W85" i="1"/>
  <c r="AA84" i="1"/>
  <c r="Z84" i="1"/>
  <c r="X84" i="1"/>
  <c r="W84" i="1"/>
  <c r="AA83" i="1"/>
  <c r="Z83" i="1"/>
  <c r="X83" i="1"/>
  <c r="W83" i="1"/>
  <c r="AA82" i="1"/>
  <c r="Z82" i="1"/>
  <c r="X82" i="1"/>
  <c r="W82" i="1"/>
  <c r="AA81" i="1"/>
  <c r="Z81" i="1"/>
  <c r="X81" i="1"/>
  <c r="W81" i="1"/>
  <c r="AA80" i="1"/>
  <c r="Z80" i="1"/>
  <c r="X80" i="1"/>
  <c r="W80" i="1"/>
  <c r="AA79" i="1"/>
  <c r="Z79" i="1"/>
  <c r="X79" i="1"/>
  <c r="W79" i="1"/>
  <c r="AA78" i="1"/>
  <c r="Z78" i="1"/>
  <c r="X78" i="1"/>
  <c r="W78" i="1"/>
  <c r="AA77" i="1"/>
  <c r="Z77" i="1"/>
  <c r="X77" i="1"/>
  <c r="W77" i="1"/>
  <c r="AA76" i="1"/>
  <c r="Z76" i="1"/>
  <c r="X76" i="1"/>
  <c r="W76" i="1"/>
  <c r="AA75" i="1"/>
  <c r="Z75" i="1"/>
  <c r="X75" i="1"/>
  <c r="W75" i="1"/>
  <c r="AA74" i="1"/>
  <c r="Z74" i="1"/>
  <c r="X74" i="1"/>
  <c r="W74" i="1"/>
  <c r="AA73" i="1"/>
  <c r="Z73" i="1"/>
  <c r="X73" i="1"/>
  <c r="W73" i="1"/>
  <c r="AA72" i="1"/>
  <c r="Z72" i="1"/>
  <c r="X72" i="1"/>
  <c r="W72" i="1"/>
  <c r="AA71" i="1"/>
  <c r="Z71" i="1"/>
  <c r="X71" i="1"/>
  <c r="W71" i="1"/>
  <c r="AA70" i="1"/>
  <c r="Z70" i="1"/>
  <c r="X70" i="1"/>
  <c r="W70" i="1"/>
  <c r="AA69" i="1"/>
  <c r="Z69" i="1"/>
  <c r="X69" i="1"/>
  <c r="W69" i="1"/>
  <c r="AA68" i="1"/>
  <c r="Z68" i="1"/>
  <c r="X68" i="1"/>
  <c r="W68" i="1"/>
  <c r="AA67" i="1"/>
  <c r="Z67" i="1"/>
  <c r="X67" i="1"/>
  <c r="W67" i="1"/>
  <c r="AA66" i="1"/>
  <c r="Z66" i="1"/>
  <c r="X66" i="1"/>
  <c r="W66" i="1"/>
  <c r="AA65" i="1"/>
  <c r="Z65" i="1"/>
  <c r="X65" i="1"/>
  <c r="W65" i="1"/>
  <c r="AA64" i="1"/>
  <c r="Z64" i="1"/>
  <c r="X64" i="1"/>
  <c r="W64" i="1"/>
  <c r="AA63" i="1"/>
  <c r="Z63" i="1"/>
  <c r="X63" i="1"/>
  <c r="W63" i="1"/>
  <c r="AA62" i="1"/>
  <c r="Z62" i="1"/>
  <c r="X62" i="1"/>
  <c r="W62" i="1"/>
  <c r="AA61" i="1"/>
  <c r="Z61" i="1"/>
  <c r="X61" i="1"/>
  <c r="W61" i="1"/>
  <c r="AA60" i="1"/>
  <c r="Z60" i="1"/>
  <c r="X60" i="1"/>
  <c r="W60" i="1"/>
  <c r="AA59" i="1"/>
  <c r="Z59" i="1"/>
  <c r="X59" i="1"/>
  <c r="W59" i="1"/>
  <c r="AA58" i="1"/>
  <c r="Z58" i="1"/>
  <c r="X58" i="1"/>
  <c r="W58" i="1"/>
  <c r="AA57" i="1"/>
  <c r="Z57" i="1"/>
  <c r="X57" i="1"/>
  <c r="W57" i="1"/>
  <c r="AA56" i="1"/>
  <c r="Z56" i="1"/>
  <c r="X56" i="1"/>
  <c r="W56" i="1"/>
  <c r="AA55" i="1"/>
  <c r="Z55" i="1"/>
  <c r="X55" i="1"/>
  <c r="W55" i="1"/>
  <c r="AA54" i="1"/>
  <c r="Z54" i="1"/>
  <c r="X54" i="1"/>
  <c r="W54" i="1"/>
  <c r="AA53" i="1"/>
  <c r="Z53" i="1"/>
  <c r="X53" i="1"/>
  <c r="W53" i="1"/>
  <c r="AA52" i="1"/>
  <c r="Z52" i="1"/>
  <c r="X52" i="1"/>
  <c r="W52" i="1"/>
  <c r="AA51" i="1"/>
  <c r="Z51" i="1"/>
  <c r="X51" i="1"/>
  <c r="W51" i="1"/>
  <c r="AA50" i="1"/>
  <c r="Z50" i="1"/>
  <c r="X50" i="1"/>
  <c r="W50" i="1"/>
  <c r="AA49" i="1"/>
  <c r="Z49" i="1"/>
  <c r="X49" i="1"/>
  <c r="W49" i="1"/>
  <c r="AA48" i="1"/>
  <c r="Z48" i="1"/>
  <c r="X48" i="1"/>
  <c r="W48" i="1"/>
  <c r="AA47" i="1"/>
  <c r="Z47" i="1"/>
  <c r="X47" i="1"/>
  <c r="W47" i="1"/>
  <c r="AA46" i="1"/>
  <c r="Z46" i="1"/>
  <c r="X46" i="1"/>
  <c r="W46" i="1"/>
  <c r="AA45" i="1"/>
  <c r="Z45" i="1"/>
  <c r="X45" i="1"/>
  <c r="W45" i="1"/>
  <c r="AA44" i="1"/>
  <c r="Z44" i="1"/>
  <c r="X44" i="1"/>
  <c r="W44" i="1"/>
  <c r="AA43" i="1"/>
  <c r="Z43" i="1"/>
  <c r="X43" i="1"/>
  <c r="W43" i="1"/>
  <c r="AA42" i="1"/>
  <c r="Z42" i="1"/>
  <c r="X42" i="1"/>
  <c r="W42" i="1"/>
  <c r="AA41" i="1"/>
  <c r="Z41" i="1"/>
  <c r="X41" i="1"/>
  <c r="W41" i="1"/>
  <c r="AA40" i="1"/>
  <c r="Z40" i="1"/>
  <c r="X40" i="1"/>
  <c r="W40" i="1"/>
  <c r="AA39" i="1"/>
  <c r="Z39" i="1"/>
  <c r="X39" i="1"/>
  <c r="W39" i="1"/>
  <c r="AA38" i="1"/>
  <c r="Z38" i="1"/>
  <c r="X38" i="1"/>
  <c r="W38" i="1"/>
  <c r="AA37" i="1"/>
  <c r="Z37" i="1"/>
  <c r="X37" i="1"/>
  <c r="W37" i="1"/>
  <c r="AA36" i="1"/>
  <c r="Z36" i="1"/>
  <c r="X36" i="1"/>
  <c r="W36" i="1"/>
  <c r="AA35" i="1"/>
  <c r="Z35" i="1"/>
  <c r="X35" i="1"/>
  <c r="W35" i="1"/>
  <c r="AA34" i="1"/>
  <c r="Z34" i="1"/>
  <c r="X34" i="1"/>
  <c r="W34" i="1"/>
  <c r="AA33" i="1"/>
  <c r="Z33" i="1"/>
  <c r="X33" i="1"/>
  <c r="W33" i="1"/>
  <c r="AA32" i="1"/>
  <c r="Z32" i="1"/>
  <c r="X32" i="1"/>
  <c r="W32" i="1"/>
  <c r="AA31" i="1"/>
  <c r="Z31" i="1"/>
  <c r="X31" i="1"/>
  <c r="W31" i="1"/>
  <c r="AA30" i="1"/>
  <c r="Z30" i="1"/>
  <c r="X30" i="1"/>
  <c r="W30" i="1"/>
  <c r="AA29" i="1"/>
  <c r="Z29" i="1"/>
  <c r="X29" i="1"/>
  <c r="W29" i="1"/>
  <c r="AA28" i="1"/>
  <c r="Z28" i="1"/>
  <c r="X28" i="1"/>
  <c r="W28" i="1"/>
  <c r="AA27" i="1"/>
  <c r="Z27" i="1"/>
  <c r="X27" i="1"/>
  <c r="W27" i="1"/>
  <c r="AA26" i="1"/>
  <c r="Z26" i="1"/>
  <c r="X26" i="1"/>
  <c r="W26" i="1"/>
  <c r="AA25" i="1"/>
  <c r="Z25" i="1"/>
  <c r="X25" i="1"/>
  <c r="W25" i="1"/>
  <c r="AA24" i="1"/>
  <c r="Z24" i="1"/>
  <c r="X24" i="1"/>
  <c r="W24" i="1"/>
  <c r="AA23" i="1"/>
  <c r="Z23" i="1"/>
  <c r="X23" i="1"/>
  <c r="W23" i="1"/>
  <c r="AA22" i="1"/>
  <c r="Z22" i="1"/>
  <c r="X22" i="1"/>
  <c r="W22" i="1"/>
  <c r="AA21" i="1"/>
  <c r="Z21" i="1"/>
  <c r="X21" i="1"/>
  <c r="W21" i="1"/>
  <c r="AA20" i="1"/>
  <c r="Z20" i="1"/>
  <c r="X20" i="1"/>
  <c r="W20" i="1"/>
  <c r="AA19" i="1"/>
  <c r="Z19" i="1"/>
  <c r="X19" i="1"/>
  <c r="W19" i="1"/>
  <c r="AA18" i="1"/>
  <c r="Z18" i="1"/>
  <c r="X18" i="1"/>
  <c r="W18" i="1"/>
  <c r="AA17" i="1"/>
  <c r="Z17" i="1"/>
  <c r="X17" i="1"/>
  <c r="W17" i="1"/>
  <c r="AA16" i="1"/>
  <c r="Z16" i="1"/>
  <c r="X16" i="1"/>
  <c r="W16" i="1"/>
  <c r="AA15" i="1"/>
  <c r="Z15" i="1"/>
  <c r="X15" i="1"/>
  <c r="W15" i="1"/>
  <c r="AA14" i="1"/>
  <c r="Z14" i="1"/>
  <c r="X14" i="1"/>
  <c r="W14" i="1"/>
  <c r="AA13" i="1"/>
  <c r="Z13" i="1"/>
  <c r="X13" i="1"/>
  <c r="W13" i="1"/>
  <c r="AA12" i="1"/>
  <c r="Z12" i="1"/>
  <c r="X12" i="1"/>
  <c r="W12" i="1"/>
  <c r="AA11" i="1"/>
  <c r="Z11" i="1"/>
  <c r="X11" i="1"/>
  <c r="W11" i="1"/>
  <c r="AA10" i="1"/>
  <c r="Z10" i="1"/>
  <c r="X10" i="1"/>
  <c r="W10" i="1"/>
  <c r="AA9" i="1"/>
  <c r="Z9" i="1"/>
  <c r="X9" i="1"/>
  <c r="W9" i="1"/>
  <c r="AA8" i="1"/>
  <c r="Z8" i="1"/>
  <c r="X8" i="1"/>
  <c r="W8" i="1"/>
  <c r="AA7" i="1"/>
  <c r="Z7" i="1"/>
  <c r="X7" i="1"/>
  <c r="W7" i="1"/>
  <c r="AA6" i="1"/>
  <c r="Z6" i="1"/>
  <c r="X6" i="1"/>
  <c r="W6" i="1"/>
  <c r="AA5" i="1"/>
  <c r="Z5" i="1"/>
  <c r="X5" i="1"/>
  <c r="W5" i="1"/>
  <c r="AA4" i="1"/>
  <c r="Z4" i="1"/>
  <c r="X4" i="1"/>
  <c r="W4" i="1"/>
  <c r="AA3" i="1"/>
  <c r="Z3" i="1"/>
  <c r="X3" i="1"/>
  <c r="W3" i="1"/>
  <c r="AA2" i="1"/>
  <c r="Z2" i="1"/>
  <c r="X2" i="1"/>
  <c r="W2" i="1"/>
</calcChain>
</file>

<file path=xl/sharedStrings.xml><?xml version="1.0" encoding="utf-8"?>
<sst xmlns="http://schemas.openxmlformats.org/spreadsheetml/2006/main" count="2055" uniqueCount="677">
  <si>
    <t>N°</t>
  </si>
  <si>
    <t>N° client facturé</t>
  </si>
  <si>
    <t>Nom</t>
  </si>
  <si>
    <t>Unite Code</t>
  </si>
  <si>
    <t>N° Client</t>
  </si>
  <si>
    <t>Nom Client</t>
  </si>
  <si>
    <t>Type vente à crédit</t>
  </si>
  <si>
    <t>Groupe compta. client</t>
  </si>
  <si>
    <t>Code devise</t>
  </si>
  <si>
    <t>Date comptabilisation</t>
  </si>
  <si>
    <t>N° identif. intracomm.</t>
  </si>
  <si>
    <t>Date d'échéance</t>
  </si>
  <si>
    <t>Montant</t>
  </si>
  <si>
    <t>Montant TTC</t>
  </si>
  <si>
    <t>Frais Dossier</t>
  </si>
  <si>
    <t xml:space="preserve">Montant HT Intérêt
</t>
  </si>
  <si>
    <t xml:space="preserve">Montant TVA Intérêt
</t>
  </si>
  <si>
    <t>RIB Customer</t>
  </si>
  <si>
    <t>N° compte bancaire</t>
  </si>
  <si>
    <t>Montant ouvert</t>
  </si>
  <si>
    <t>Code magasin</t>
  </si>
  <si>
    <t>Nbre impressions</t>
  </si>
  <si>
    <t>Clôturé</t>
  </si>
  <si>
    <t>Annulé</t>
  </si>
  <si>
    <t>Nbr_Mois_Echéance</t>
  </si>
  <si>
    <t>Facture Importée</t>
  </si>
  <si>
    <t>Correctif</t>
  </si>
  <si>
    <t>FV24024739</t>
  </si>
  <si>
    <t>CLT2409677</t>
  </si>
  <si>
    <t>Basma Balloumi</t>
  </si>
  <si>
    <t>504</t>
  </si>
  <si>
    <t>VC.PARTIC.</t>
  </si>
  <si>
    <t/>
  </si>
  <si>
    <t>04706041003904502653</t>
  </si>
  <si>
    <t>FV24024367</t>
  </si>
  <si>
    <t>CLT2409617</t>
  </si>
  <si>
    <t>riahi hafed</t>
  </si>
  <si>
    <t>215</t>
  </si>
  <si>
    <t>25109000000101383866</t>
  </si>
  <si>
    <t>FV24024298</t>
  </si>
  <si>
    <t>CLT1901331</t>
  </si>
  <si>
    <t>HAMDI SABER</t>
  </si>
  <si>
    <t>05038000106501668735</t>
  </si>
  <si>
    <t>FV24024085</t>
  </si>
  <si>
    <t>CLT2409629</t>
  </si>
  <si>
    <t>NOURA MARWENI</t>
  </si>
  <si>
    <t>107</t>
  </si>
  <si>
    <t>05403000074500959072</t>
  </si>
  <si>
    <t>FV24024038</t>
  </si>
  <si>
    <t>CLT2409587</t>
  </si>
  <si>
    <t>AMMAR HENDA</t>
  </si>
  <si>
    <t>25020000000005156014</t>
  </si>
  <si>
    <t>FV24024027</t>
  </si>
  <si>
    <t>CLT2409590</t>
  </si>
  <si>
    <t>sallaoui malek</t>
  </si>
  <si>
    <t>209</t>
  </si>
  <si>
    <t>01100028111058334961</t>
  </si>
  <si>
    <t>FV24024024</t>
  </si>
  <si>
    <t>CLT2409571</t>
  </si>
  <si>
    <t>MOHAMED JDAY</t>
  </si>
  <si>
    <t>04100009008329392842</t>
  </si>
  <si>
    <t>FV24023900</t>
  </si>
  <si>
    <t>CLT1901882</t>
  </si>
  <si>
    <t>mansouri samia</t>
  </si>
  <si>
    <t>111</t>
  </si>
  <si>
    <t>CLT-IMPAYE</t>
  </si>
  <si>
    <t>12004000000234893855</t>
  </si>
  <si>
    <t>FV24023661</t>
  </si>
  <si>
    <t>CLT2409296</t>
  </si>
  <si>
    <t>KLAI SABER</t>
  </si>
  <si>
    <t>17001000000285548788</t>
  </si>
  <si>
    <t>FV24023641</t>
  </si>
  <si>
    <t>CLT2102788</t>
  </si>
  <si>
    <t>DHIFI AREM</t>
  </si>
  <si>
    <t>28006013883101000117</t>
  </si>
  <si>
    <t>FV24023597</t>
  </si>
  <si>
    <t>CLT1805620</t>
  </si>
  <si>
    <t>SAADAOUI AHLEM</t>
  </si>
  <si>
    <t>138</t>
  </si>
  <si>
    <t>11300003285600878847</t>
  </si>
  <si>
    <t>FV24023572</t>
  </si>
  <si>
    <t>CLT1910367</t>
  </si>
  <si>
    <t>HAJRA NASER</t>
  </si>
  <si>
    <t>07306006310555298894</t>
  </si>
  <si>
    <t>FV24023491</t>
  </si>
  <si>
    <t>CLT1910307</t>
  </si>
  <si>
    <t>nahhali dorra</t>
  </si>
  <si>
    <t>01100028111043734424</t>
  </si>
  <si>
    <t>FV24023319</t>
  </si>
  <si>
    <t>CLT2303781</t>
  </si>
  <si>
    <t>MOHAMED FOUGHALI</t>
  </si>
  <si>
    <t>28006021069101000136</t>
  </si>
  <si>
    <t>FV24023136</t>
  </si>
  <si>
    <t>CLT1713916</t>
  </si>
  <si>
    <t>KHLAIFIA MOHAMED TAHER</t>
  </si>
  <si>
    <t>01100028111049190868</t>
  </si>
  <si>
    <t>FV24022941</t>
  </si>
  <si>
    <t>CLT1913848</t>
  </si>
  <si>
    <t>KOUKI MONIA</t>
  </si>
  <si>
    <t>112</t>
  </si>
  <si>
    <t>14900900100706169570</t>
  </si>
  <si>
    <t>FV24022673</t>
  </si>
  <si>
    <t>CLT2115124</t>
  </si>
  <si>
    <t>MAKREM EL AMIRI</t>
  </si>
  <si>
    <t>12402000000219721053</t>
  </si>
  <si>
    <t>FV24022139</t>
  </si>
  <si>
    <t>CLT2100001</t>
  </si>
  <si>
    <t>WASSIM YOUSSFI</t>
  </si>
  <si>
    <t>07306006310553716727</t>
  </si>
  <si>
    <t>FV24021925</t>
  </si>
  <si>
    <t>CLT2408998</t>
  </si>
  <si>
    <t xml:space="preserve">TIBER MASOUDI </t>
  </si>
  <si>
    <t>25081000000065791946</t>
  </si>
  <si>
    <t>FV24021263</t>
  </si>
  <si>
    <t>CLT1811320</t>
  </si>
  <si>
    <t>B OUAZIZ ABDALLAH</t>
  </si>
  <si>
    <t>01100028111032054072</t>
  </si>
  <si>
    <t>FV24020792</t>
  </si>
  <si>
    <t>CLT2200894</t>
  </si>
  <si>
    <t>AMEL TALBI</t>
  </si>
  <si>
    <t>08001000632003707502</t>
  </si>
  <si>
    <t>FV24020378</t>
  </si>
  <si>
    <t>CLT2406672</t>
  </si>
  <si>
    <t>abed mohamed</t>
  </si>
  <si>
    <t>519</t>
  </si>
  <si>
    <t>07207004610582086686</t>
  </si>
  <si>
    <t>FV24020300</t>
  </si>
  <si>
    <t>CLT2408512</t>
  </si>
  <si>
    <t>massoued jaouida</t>
  </si>
  <si>
    <t>129</t>
  </si>
  <si>
    <t>03007048010122741933</t>
  </si>
  <si>
    <t>FV24019872</t>
  </si>
  <si>
    <t>CLT2002399</t>
  </si>
  <si>
    <t>BEN GUIRAT IMED</t>
  </si>
  <si>
    <t>28009019317101000108</t>
  </si>
  <si>
    <t>FV24019462</t>
  </si>
  <si>
    <t>CLT2408299</t>
  </si>
  <si>
    <t>AYA ABIDI</t>
  </si>
  <si>
    <t>17606000000329527941</t>
  </si>
  <si>
    <t>FV24019296</t>
  </si>
  <si>
    <t>CLT1815717</t>
  </si>
  <si>
    <t>CHAMAKHI MOHAMED ALI</t>
  </si>
  <si>
    <t>01100028111054707452</t>
  </si>
  <si>
    <t>FV24018416</t>
  </si>
  <si>
    <t>CLT2102876</t>
  </si>
  <si>
    <t>ABIDI  MARWAN</t>
  </si>
  <si>
    <t>28006015748101000145</t>
  </si>
  <si>
    <t>FV24018334</t>
  </si>
  <si>
    <t>CLT2408024</t>
  </si>
  <si>
    <t>AMEN ALLAH MOURAD</t>
  </si>
  <si>
    <t>01100028111059547364</t>
  </si>
  <si>
    <t>FV24018228</t>
  </si>
  <si>
    <t>CLT1900104</t>
  </si>
  <si>
    <t>SONIA EL RIAHI</t>
  </si>
  <si>
    <t>413</t>
  </si>
  <si>
    <t>04022108004506536430</t>
  </si>
  <si>
    <t>FV24018159</t>
  </si>
  <si>
    <t>CLT2407817</t>
  </si>
  <si>
    <t>AYARI IHEB</t>
  </si>
  <si>
    <t>08113028034001138769</t>
  </si>
  <si>
    <t>FV24017842</t>
  </si>
  <si>
    <t>CLT1811025</t>
  </si>
  <si>
    <t>laajili lasaad</t>
  </si>
  <si>
    <t>01100028111043117989</t>
  </si>
  <si>
    <t>FV24017590</t>
  </si>
  <si>
    <t>CLT2407764</t>
  </si>
  <si>
    <t xml:space="preserve">BAHROUNI KACEM AMINE </t>
  </si>
  <si>
    <t>01100028111054202470</t>
  </si>
  <si>
    <t>FV24017530</t>
  </si>
  <si>
    <t>CLT2407718</t>
  </si>
  <si>
    <t>ZAIER AOUN</t>
  </si>
  <si>
    <t>515</t>
  </si>
  <si>
    <t>12039000000209088631</t>
  </si>
  <si>
    <t>FV24017124</t>
  </si>
  <si>
    <t>CLT2407508</t>
  </si>
  <si>
    <t>THABTI SEIFEDDINE</t>
  </si>
  <si>
    <t>32039788101153533148</t>
  </si>
  <si>
    <t>FV24016949</t>
  </si>
  <si>
    <t>CLT2407059</t>
  </si>
  <si>
    <t>AJEJ SALMEN</t>
  </si>
  <si>
    <t>11002400203670600876</t>
  </si>
  <si>
    <t>FV24016861</t>
  </si>
  <si>
    <t>CLT2407370</t>
  </si>
  <si>
    <t>OURI MONTASSAR</t>
  </si>
  <si>
    <t>01100028111059012021</t>
  </si>
  <si>
    <t>FV24016741</t>
  </si>
  <si>
    <t>CLT2407459</t>
  </si>
  <si>
    <t>SAII MOHAMED</t>
  </si>
  <si>
    <t>04808060008132522734</t>
  </si>
  <si>
    <t>FV24016483</t>
  </si>
  <si>
    <t>CLT2102902</t>
  </si>
  <si>
    <t>FANDI MOHSEN</t>
  </si>
  <si>
    <t>28006013794101000136</t>
  </si>
  <si>
    <t>FV24016112</t>
  </si>
  <si>
    <t>CLT1811497</t>
  </si>
  <si>
    <t>najet thabet</t>
  </si>
  <si>
    <t>511</t>
  </si>
  <si>
    <t>03705026010110758992</t>
  </si>
  <si>
    <t>FV24016051</t>
  </si>
  <si>
    <t>CLT1916629</t>
  </si>
  <si>
    <t>huiji imed</t>
  </si>
  <si>
    <t>17001000000215248426</t>
  </si>
  <si>
    <t>FV24016020</t>
  </si>
  <si>
    <t>CLT2308423</t>
  </si>
  <si>
    <t>hedia jemai</t>
  </si>
  <si>
    <t>517</t>
  </si>
  <si>
    <t>12705000000218008948</t>
  </si>
  <si>
    <t>FV24015516</t>
  </si>
  <si>
    <t>CLT1908843</t>
  </si>
  <si>
    <t>HAMMOUDI HEDI</t>
  </si>
  <si>
    <t>05062000130500671425</t>
  </si>
  <si>
    <t>FV24015141</t>
  </si>
  <si>
    <t>CLT2106009</t>
  </si>
  <si>
    <t>BEN HASSINE ACHWEK</t>
  </si>
  <si>
    <t>14302302100715619860</t>
  </si>
  <si>
    <t>FV24014886</t>
  </si>
  <si>
    <t>CLT1438147</t>
  </si>
  <si>
    <t>SAHRAOUI DALENDA</t>
  </si>
  <si>
    <t>404</t>
  </si>
  <si>
    <t>14500500100703230931</t>
  </si>
  <si>
    <t>FV24014498</t>
  </si>
  <si>
    <t>CLT2406621</t>
  </si>
  <si>
    <t>THAMER MRAIHI</t>
  </si>
  <si>
    <t>14006006100712088371</t>
  </si>
  <si>
    <t>FV24014443</t>
  </si>
  <si>
    <t>CLT1902439</t>
  </si>
  <si>
    <t>KHALFI SARRA</t>
  </si>
  <si>
    <t>17001000000143998434</t>
  </si>
  <si>
    <t>FV24014423</t>
  </si>
  <si>
    <t>CLT2406546</t>
  </si>
  <si>
    <t>LOUATI GHAZI</t>
  </si>
  <si>
    <t>01100028111059476651</t>
  </si>
  <si>
    <t>FV24014072</t>
  </si>
  <si>
    <t>CLT1917809</t>
  </si>
  <si>
    <t>RIM NAFTI</t>
  </si>
  <si>
    <t>04072157002832386323</t>
  </si>
  <si>
    <t>FV24013940</t>
  </si>
  <si>
    <t>CLT2206352</t>
  </si>
  <si>
    <t>HAOUANI AFEF</t>
  </si>
  <si>
    <t>303</t>
  </si>
  <si>
    <t>05606000056500309767</t>
  </si>
  <si>
    <t>FV24013878</t>
  </si>
  <si>
    <t>CLT2011798</t>
  </si>
  <si>
    <t>mariem belmcheyakh</t>
  </si>
  <si>
    <t>117</t>
  </si>
  <si>
    <t>24019059485251110181</t>
  </si>
  <si>
    <t>FV24013702</t>
  </si>
  <si>
    <t>CLT1912170</t>
  </si>
  <si>
    <t>SALAH MEHDI</t>
  </si>
  <si>
    <t>104</t>
  </si>
  <si>
    <t>08909010032001778067</t>
  </si>
  <si>
    <t>FV24013483</t>
  </si>
  <si>
    <t>CLT1805888</t>
  </si>
  <si>
    <t>bouabdellah mouna ep selmi</t>
  </si>
  <si>
    <t>10122115103985078829</t>
  </si>
  <si>
    <t>FV24013470</t>
  </si>
  <si>
    <t>CLT2211723</t>
  </si>
  <si>
    <t>ELARFAOUI TAIEB B TAHER</t>
  </si>
  <si>
    <t>116</t>
  </si>
  <si>
    <t>10005036186584978846</t>
  </si>
  <si>
    <t>FV24013412</t>
  </si>
  <si>
    <t>CLT2207009</t>
  </si>
  <si>
    <t>BEN NACEUR HAYET</t>
  </si>
  <si>
    <t>01100028111026506739</t>
  </si>
  <si>
    <t>FV24013256</t>
  </si>
  <si>
    <t>CLT2406041</t>
  </si>
  <si>
    <t>FETHI NEFZI</t>
  </si>
  <si>
    <t>17001000000327749608</t>
  </si>
  <si>
    <t>FV24013007</t>
  </si>
  <si>
    <t>CLT2015382</t>
  </si>
  <si>
    <t>BEN HAMMOUDA RAFI</t>
  </si>
  <si>
    <t>01100028111048604697</t>
  </si>
  <si>
    <t>FV24012977</t>
  </si>
  <si>
    <t>CLT2406050</t>
  </si>
  <si>
    <t xml:space="preserve">RABIAA EL BRKOUTI </t>
  </si>
  <si>
    <t>04063148002497996556</t>
  </si>
  <si>
    <t>FV24012776</t>
  </si>
  <si>
    <t>CLT2405985</t>
  </si>
  <si>
    <t>GAMMOUDI MONIA</t>
  </si>
  <si>
    <t>25054000000080417366</t>
  </si>
  <si>
    <t>FV24012123</t>
  </si>
  <si>
    <t>CLT2405545</t>
  </si>
  <si>
    <t xml:space="preserve">rim ben amor ep jallouli </t>
  </si>
  <si>
    <t>08026011082000734405</t>
  </si>
  <si>
    <t>FV24012076</t>
  </si>
  <si>
    <t>CLT1433534</t>
  </si>
  <si>
    <t>HEDHLI ZINA</t>
  </si>
  <si>
    <t>14004004100711516843</t>
  </si>
  <si>
    <t>FV24011943</t>
  </si>
  <si>
    <t>CLT2202127</t>
  </si>
  <si>
    <t>SEBTY BECHIR</t>
  </si>
  <si>
    <t>28006014103101000106</t>
  </si>
  <si>
    <t>FV24011640</t>
  </si>
  <si>
    <t>CLT2109532</t>
  </si>
  <si>
    <t>WALID BELGASMI</t>
  </si>
  <si>
    <t>2800693</t>
  </si>
  <si>
    <t>28006013915101000193</t>
  </si>
  <si>
    <t>FV24010742</t>
  </si>
  <si>
    <t>CLT2404850</t>
  </si>
  <si>
    <t>ayadi  hakim</t>
  </si>
  <si>
    <t>01100028113046400692</t>
  </si>
  <si>
    <t>FV24010730</t>
  </si>
  <si>
    <t>CLT1900083</t>
  </si>
  <si>
    <t>SAOUDI SALHA</t>
  </si>
  <si>
    <t>01100028111052898790</t>
  </si>
  <si>
    <t>FV24010716</t>
  </si>
  <si>
    <t>CLT2211747</t>
  </si>
  <si>
    <t>HAMMAMI FETHI</t>
  </si>
  <si>
    <t>28006014381101000160</t>
  </si>
  <si>
    <t>FV24010577</t>
  </si>
  <si>
    <t>CLT1608078</t>
  </si>
  <si>
    <t>abderrazzak  chafei</t>
  </si>
  <si>
    <t>05706000052537719952</t>
  </si>
  <si>
    <t>FV24010401</t>
  </si>
  <si>
    <t>CLT2404760</t>
  </si>
  <si>
    <t>DARGHOUTH BAYA</t>
  </si>
  <si>
    <t>01100028111015452910</t>
  </si>
  <si>
    <t>FV24010135</t>
  </si>
  <si>
    <t>CLT2403941</t>
  </si>
  <si>
    <t xml:space="preserve">GHOBTANE MEHREZ </t>
  </si>
  <si>
    <t>507</t>
  </si>
  <si>
    <t>04800013404010712281</t>
  </si>
  <si>
    <t>FV24009945</t>
  </si>
  <si>
    <t>CLT1806156</t>
  </si>
  <si>
    <t>dakhlaoui jamel</t>
  </si>
  <si>
    <t>04055140000609532737</t>
  </si>
  <si>
    <t>FV24009707</t>
  </si>
  <si>
    <t>CLT2108780</t>
  </si>
  <si>
    <t>ANISSA KORDI</t>
  </si>
  <si>
    <t>14085085100701462567</t>
  </si>
  <si>
    <t>FV24009680</t>
  </si>
  <si>
    <t>CLT2106241</t>
  </si>
  <si>
    <t>MSAHLI RAAFET</t>
  </si>
  <si>
    <t>08003000612071308459</t>
  </si>
  <si>
    <t>FV24009604</t>
  </si>
  <si>
    <t>CLT2404113</t>
  </si>
  <si>
    <t>AMARA RAYABI</t>
  </si>
  <si>
    <t>47010000000005795094</t>
  </si>
  <si>
    <t>FV24009234</t>
  </si>
  <si>
    <t>CLT1912966</t>
  </si>
  <si>
    <t>RIAHI BOURAOUI</t>
  </si>
  <si>
    <t>01100028111039015762</t>
  </si>
  <si>
    <t>FV24008843</t>
  </si>
  <si>
    <t>CLT2403497</t>
  </si>
  <si>
    <t xml:space="preserve">EL AYEDI LAMJED </t>
  </si>
  <si>
    <t>17001000000091175047</t>
  </si>
  <si>
    <t>FV24008753</t>
  </si>
  <si>
    <t>CLT2403851</t>
  </si>
  <si>
    <t>narjes lahouali</t>
  </si>
  <si>
    <t>04084169404000632405</t>
  </si>
  <si>
    <t>FV24008476</t>
  </si>
  <si>
    <t>CLT2403705</t>
  </si>
  <si>
    <t>ELMESSAOUDI SONIA</t>
  </si>
  <si>
    <t>113</t>
  </si>
  <si>
    <t>08095027032000419278</t>
  </si>
  <si>
    <t>FV24008228</t>
  </si>
  <si>
    <t>CLT2302920</t>
  </si>
  <si>
    <t xml:space="preserve">hedfi illyssa </t>
  </si>
  <si>
    <t>509</t>
  </si>
  <si>
    <t>04109064404007785333</t>
  </si>
  <si>
    <t>FV24007981</t>
  </si>
  <si>
    <t>CLT2403489</t>
  </si>
  <si>
    <t>Hanen Rabah</t>
  </si>
  <si>
    <t>502</t>
  </si>
  <si>
    <t>17001000000035088095</t>
  </si>
  <si>
    <t>FV24007962</t>
  </si>
  <si>
    <t>CLT2104572</t>
  </si>
  <si>
    <t>yesser trabelsi</t>
  </si>
  <si>
    <t>04142226006503378964</t>
  </si>
  <si>
    <t>FV24007952</t>
  </si>
  <si>
    <t>CLT2211910</t>
  </si>
  <si>
    <t>ABIDI NAIMA</t>
  </si>
  <si>
    <t>14008008100713115411</t>
  </si>
  <si>
    <t>FV24007852</t>
  </si>
  <si>
    <t>CLT2210480</t>
  </si>
  <si>
    <t>Rahma Thamri</t>
  </si>
  <si>
    <t>17801000000296185892</t>
  </si>
  <si>
    <t>FV24007676</t>
  </si>
  <si>
    <t>CLT2403307</t>
  </si>
  <si>
    <t>bilel khmissi</t>
  </si>
  <si>
    <t>01100028111057961220</t>
  </si>
  <si>
    <t>FV24007635</t>
  </si>
  <si>
    <t>CLT1910376</t>
  </si>
  <si>
    <t>DHIFI ABDELMAJID</t>
  </si>
  <si>
    <t>28006014062101000142</t>
  </si>
  <si>
    <t>FV24007621</t>
  </si>
  <si>
    <t>CLT1811725</t>
  </si>
  <si>
    <t>fatnassi kamel</t>
  </si>
  <si>
    <t>07306006310553472675</t>
  </si>
  <si>
    <t>FV24007521</t>
  </si>
  <si>
    <t>CLT2403271</t>
  </si>
  <si>
    <t>AMEL GHARDO</t>
  </si>
  <si>
    <t>14806806100703065382</t>
  </si>
  <si>
    <t>FV24007396</t>
  </si>
  <si>
    <t>CLT2017973</t>
  </si>
  <si>
    <t>MAHOUACHI NADER</t>
  </si>
  <si>
    <t>28006014005101000140</t>
  </si>
  <si>
    <t>FV24007359</t>
  </si>
  <si>
    <t>CLT2203180</t>
  </si>
  <si>
    <t>CHERNI HAITHEM</t>
  </si>
  <si>
    <t>04007008007327477190</t>
  </si>
  <si>
    <t>FV24007228</t>
  </si>
  <si>
    <t>CLT2402954</t>
  </si>
  <si>
    <t>Boughanmi Med Salah</t>
  </si>
  <si>
    <t>142</t>
  </si>
  <si>
    <t>01903046111032943581</t>
  </si>
  <si>
    <t>FV24007180</t>
  </si>
  <si>
    <t>FV24007109</t>
  </si>
  <si>
    <t>CLT2110128</t>
  </si>
  <si>
    <t>BAYA GHERIBI</t>
  </si>
  <si>
    <t>05507000075502972637</t>
  </si>
  <si>
    <t>FV24006814</t>
  </si>
  <si>
    <t>CLT2205605</t>
  </si>
  <si>
    <t>MOURAD NSIR</t>
  </si>
  <si>
    <t>03129115010100227929</t>
  </si>
  <si>
    <t>FV24006751</t>
  </si>
  <si>
    <t>CLT2402896</t>
  </si>
  <si>
    <t>MAATOUGI RAMZI</t>
  </si>
  <si>
    <t>122</t>
  </si>
  <si>
    <t>10005036189139278876</t>
  </si>
  <si>
    <t>FV24006683</t>
  </si>
  <si>
    <t>CLT2209804</t>
  </si>
  <si>
    <t>NEBILI FATHIA</t>
  </si>
  <si>
    <t>25084000000118286174</t>
  </si>
  <si>
    <t>FV24006632</t>
  </si>
  <si>
    <t>CLT1512099</t>
  </si>
  <si>
    <t>NAIMA ISAOUI</t>
  </si>
  <si>
    <t>12120000000225508444</t>
  </si>
  <si>
    <t>FV24006527</t>
  </si>
  <si>
    <t>CLT2402858</t>
  </si>
  <si>
    <t>jamila ben yahia</t>
  </si>
  <si>
    <t>01705026111020134456</t>
  </si>
  <si>
    <t>FV24006400</t>
  </si>
  <si>
    <t>CLT2308416</t>
  </si>
  <si>
    <t>LOTFI NEFZI</t>
  </si>
  <si>
    <t>28006026703101000155</t>
  </si>
  <si>
    <t>FV24006103</t>
  </si>
  <si>
    <t>CLT2402613</t>
  </si>
  <si>
    <t>MARIEM CHLIBI</t>
  </si>
  <si>
    <t>17706000000166531140</t>
  </si>
  <si>
    <t>FV24006035</t>
  </si>
  <si>
    <t>CLT2402678</t>
  </si>
  <si>
    <t>AMRAOUI RAYAN</t>
  </si>
  <si>
    <t>07101001610559753864</t>
  </si>
  <si>
    <t>FV24006006</t>
  </si>
  <si>
    <t>CLT2402621</t>
  </si>
  <si>
    <t>BEN AMOR MED</t>
  </si>
  <si>
    <t>10407067507993178806</t>
  </si>
  <si>
    <t>FV24006004</t>
  </si>
  <si>
    <t>CLT2402641</t>
  </si>
  <si>
    <t>HELMI EL FERCHICHI</t>
  </si>
  <si>
    <t>01043083111016846421</t>
  </si>
  <si>
    <t>FV24006002</t>
  </si>
  <si>
    <t>CLT2200931</t>
  </si>
  <si>
    <t>TOUATI CHIHEB</t>
  </si>
  <si>
    <t>05049000117500745493</t>
  </si>
  <si>
    <t>FV24005992</t>
  </si>
  <si>
    <t>CLT1449956</t>
  </si>
  <si>
    <t>SOUIDI  RIDHA</t>
  </si>
  <si>
    <t>12007000000212042072</t>
  </si>
  <si>
    <t>FV24005989</t>
  </si>
  <si>
    <t>CLT1817572</t>
  </si>
  <si>
    <t>HAGUI METOILLI</t>
  </si>
  <si>
    <t>501</t>
  </si>
  <si>
    <t>1760624</t>
  </si>
  <si>
    <t>17606000000067602624</t>
  </si>
  <si>
    <t>FV24005854</t>
  </si>
  <si>
    <t>CLT2402494</t>
  </si>
  <si>
    <t>ZEINEB BOUKHRIS</t>
  </si>
  <si>
    <t>04040125003145762510</t>
  </si>
  <si>
    <t>FV24005840</t>
  </si>
  <si>
    <t>CLT2402473</t>
  </si>
  <si>
    <t>MARWEN SAADI</t>
  </si>
  <si>
    <t>01100028111052413984</t>
  </si>
  <si>
    <t>FV24005788</t>
  </si>
  <si>
    <t>CLT2402567</t>
  </si>
  <si>
    <t>Safa Neji</t>
  </si>
  <si>
    <t>04802020404004600744</t>
  </si>
  <si>
    <t>FV24005320</t>
  </si>
  <si>
    <t>CLT2402258</t>
  </si>
  <si>
    <t>AHLEM LETAIEF EP MAJBRI</t>
  </si>
  <si>
    <t>10500002022051478882</t>
  </si>
  <si>
    <t>FV24005117</t>
  </si>
  <si>
    <t>CLT1907229</t>
  </si>
  <si>
    <t>NAFATI KARIM</t>
  </si>
  <si>
    <t>07308006410558354008</t>
  </si>
  <si>
    <t>FV24005095</t>
  </si>
  <si>
    <t>CLT1522097</t>
  </si>
  <si>
    <t>SAHBI KARIMA</t>
  </si>
  <si>
    <t>514</t>
  </si>
  <si>
    <t>04800013002537503170</t>
  </si>
  <si>
    <t>FV24004875</t>
  </si>
  <si>
    <t>CLT1442165</t>
  </si>
  <si>
    <t>MJAIED REZGUI</t>
  </si>
  <si>
    <t>10122115103422478829</t>
  </si>
  <si>
    <t>FV24004709</t>
  </si>
  <si>
    <t>CLT2401895</t>
  </si>
  <si>
    <t xml:space="preserve">NSIRA AKIK </t>
  </si>
  <si>
    <t>12015000000226901724</t>
  </si>
  <si>
    <t>FV24004268</t>
  </si>
  <si>
    <t>CLT2401820</t>
  </si>
  <si>
    <t>ARFAOUI MAKREM</t>
  </si>
  <si>
    <t>17001000000136761846</t>
  </si>
  <si>
    <t>FV24004265</t>
  </si>
  <si>
    <t>CLT2013191</t>
  </si>
  <si>
    <t>IMEN TRABELSSI</t>
  </si>
  <si>
    <t>17001000000052145060</t>
  </si>
  <si>
    <t>FV24004261</t>
  </si>
  <si>
    <t>CLT2111546</t>
  </si>
  <si>
    <t>BEN AMAR MOHAMED ABD SALAM</t>
  </si>
  <si>
    <t>17001000000095827555</t>
  </si>
  <si>
    <t>FV24004245</t>
  </si>
  <si>
    <t>CLT2401876</t>
  </si>
  <si>
    <t>Nesrine Bougrine</t>
  </si>
  <si>
    <t>08707000302010668818</t>
  </si>
  <si>
    <t>FV24004126</t>
  </si>
  <si>
    <t>CLT1420020</t>
  </si>
  <si>
    <t>JOUINI FATMA</t>
  </si>
  <si>
    <t>01100028111042865401</t>
  </si>
  <si>
    <t>FV24003937</t>
  </si>
  <si>
    <t>CLT2401760</t>
  </si>
  <si>
    <t>Soulef Toumi</t>
  </si>
  <si>
    <t>17606000000153171077</t>
  </si>
  <si>
    <t>FV24003767</t>
  </si>
  <si>
    <t>CLT2401667</t>
  </si>
  <si>
    <t>HEDHLI SAASSI</t>
  </si>
  <si>
    <t>28006014175101000180</t>
  </si>
  <si>
    <t>FV24003700</t>
  </si>
  <si>
    <t>CLT2401600</t>
  </si>
  <si>
    <t>NAJET ELHAJ</t>
  </si>
  <si>
    <t>12802000000202268176</t>
  </si>
  <si>
    <t>FV24003163</t>
  </si>
  <si>
    <t>CLT2401395</t>
  </si>
  <si>
    <t xml:space="preserve">Rahma slimene </t>
  </si>
  <si>
    <t>08106000762010123540</t>
  </si>
  <si>
    <t>FV24003125</t>
  </si>
  <si>
    <t>CLT2401329</t>
  </si>
  <si>
    <t>HANA BEN BARKA</t>
  </si>
  <si>
    <t>04032118002037103563</t>
  </si>
  <si>
    <t>FV24002878</t>
  </si>
  <si>
    <t>CLT2401345</t>
  </si>
  <si>
    <t>FAHMI MHEDHBI</t>
  </si>
  <si>
    <t>05300000018502159972</t>
  </si>
  <si>
    <t>FV24002820</t>
  </si>
  <si>
    <t>CLT2106960</t>
  </si>
  <si>
    <t>SABRINE ZID</t>
  </si>
  <si>
    <t>08142031042001770646</t>
  </si>
  <si>
    <t>FV24002797</t>
  </si>
  <si>
    <t>CLT2101939</t>
  </si>
  <si>
    <t>KHWITMI ANIS</t>
  </si>
  <si>
    <t>01027069111022376550</t>
  </si>
  <si>
    <t>FV24002702</t>
  </si>
  <si>
    <t>CLT2401058</t>
  </si>
  <si>
    <t>AYOUB AYDI</t>
  </si>
  <si>
    <t>17001000000264636170</t>
  </si>
  <si>
    <t>FV24002272</t>
  </si>
  <si>
    <t>CLT2401004</t>
  </si>
  <si>
    <t>HATEM FECHICHI</t>
  </si>
  <si>
    <t>04509052404003866593</t>
  </si>
  <si>
    <t>FV24002105</t>
  </si>
  <si>
    <t>CLT2400932</t>
  </si>
  <si>
    <t>khawther  AAMRI</t>
  </si>
  <si>
    <t>102</t>
  </si>
  <si>
    <t>07206004110581661605</t>
  </si>
  <si>
    <t>FV24002047</t>
  </si>
  <si>
    <t>CLT2110050</t>
  </si>
  <si>
    <t>massoud Adnen</t>
  </si>
  <si>
    <t>04108065404006485140</t>
  </si>
  <si>
    <t>FV24002014</t>
  </si>
  <si>
    <t>CLT2002129</t>
  </si>
  <si>
    <t>ouesleti walid</t>
  </si>
  <si>
    <t>01100028111031124424</t>
  </si>
  <si>
    <t>FV24001976</t>
  </si>
  <si>
    <t>CLT2400904</t>
  </si>
  <si>
    <t xml:space="preserve">NEFZI RAOUDHA </t>
  </si>
  <si>
    <t>05042000110501343081</t>
  </si>
  <si>
    <t>FV24001885</t>
  </si>
  <si>
    <t>CLT2114675</t>
  </si>
  <si>
    <t>fayali chadlia</t>
  </si>
  <si>
    <t>04088173002393521689</t>
  </si>
  <si>
    <t>FV24001873</t>
  </si>
  <si>
    <t>CLT1917443</t>
  </si>
  <si>
    <t>KARIMA CHENINI</t>
  </si>
  <si>
    <t>08076023032003416275</t>
  </si>
  <si>
    <t>FV24001828</t>
  </si>
  <si>
    <t>CLT2400853</t>
  </si>
  <si>
    <t>ACHREF JBALI</t>
  </si>
  <si>
    <t>10402081110218078894</t>
  </si>
  <si>
    <t>FV24001792</t>
  </si>
  <si>
    <t>CLT1515418</t>
  </si>
  <si>
    <t>nada boubaker</t>
  </si>
  <si>
    <t>08305000062002700619</t>
  </si>
  <si>
    <t>FV24001641</t>
  </si>
  <si>
    <t>CLT2400691</t>
  </si>
  <si>
    <t>JABRI OLFA</t>
  </si>
  <si>
    <t>10316126105614378840</t>
  </si>
  <si>
    <t>FV24001588</t>
  </si>
  <si>
    <t>CLT2400794</t>
  </si>
  <si>
    <t>nabil jandoubi</t>
  </si>
  <si>
    <t>04053138005309866195</t>
  </si>
  <si>
    <t>FV24001563</t>
  </si>
  <si>
    <t>CLT2001758</t>
  </si>
  <si>
    <t>gueddich said</t>
  </si>
  <si>
    <t>01100028111055253271</t>
  </si>
  <si>
    <t>FV24001488</t>
  </si>
  <si>
    <t>CLT2400642</t>
  </si>
  <si>
    <t>NAJOUA SETHOM</t>
  </si>
  <si>
    <t>10025139000182978819</t>
  </si>
  <si>
    <t>FV24001450</t>
  </si>
  <si>
    <t>CLT2400704</t>
  </si>
  <si>
    <t>DHIAEDDINE MAHMOUD</t>
  </si>
  <si>
    <t>12500000000206503982</t>
  </si>
  <si>
    <t>FV24001432</t>
  </si>
  <si>
    <t>CLT1904770</t>
  </si>
  <si>
    <t>samira bouali</t>
  </si>
  <si>
    <t>03230138010110534595</t>
  </si>
  <si>
    <t>FV24001156</t>
  </si>
  <si>
    <t>CLT2005095</t>
  </si>
  <si>
    <t>IMED KHALDI</t>
  </si>
  <si>
    <t>05604000079500595128</t>
  </si>
  <si>
    <t>FV24001076</t>
  </si>
  <si>
    <t>FV24001073</t>
  </si>
  <si>
    <t>CLT1810487</t>
  </si>
  <si>
    <t>ben masaoud nejma</t>
  </si>
  <si>
    <t>28006013852101000104</t>
  </si>
  <si>
    <t>FV24001012</t>
  </si>
  <si>
    <t>CLT2209843</t>
  </si>
  <si>
    <t>NADA HAYOUNI</t>
  </si>
  <si>
    <t>04500043005139354415</t>
  </si>
  <si>
    <t>FV24000988</t>
  </si>
  <si>
    <t>CLT2400413</t>
  </si>
  <si>
    <t>AMICALE DU MINISTERE DE L'EDUCATION</t>
  </si>
  <si>
    <t>SAMIA NAJARI</t>
  </si>
  <si>
    <t>17801000000034242630</t>
  </si>
  <si>
    <t>FV24000976</t>
  </si>
  <si>
    <t>CLT2000513</t>
  </si>
  <si>
    <t>TRABELSSI KAOUTHER</t>
  </si>
  <si>
    <t>32001788101048791154</t>
  </si>
  <si>
    <t>FV24000953</t>
  </si>
  <si>
    <t>CLT2400160</t>
  </si>
  <si>
    <t>sihem abidi</t>
  </si>
  <si>
    <t>14705705100705839768</t>
  </si>
  <si>
    <t>FV24000925</t>
  </si>
  <si>
    <t>CLT2203722</t>
  </si>
  <si>
    <t>MAZHOUD JIHENE</t>
  </si>
  <si>
    <t>121</t>
  </si>
  <si>
    <t>32022788101108706139</t>
  </si>
  <si>
    <t>FV24000915</t>
  </si>
  <si>
    <t>CLT1402064</t>
  </si>
  <si>
    <t>UBCI</t>
  </si>
  <si>
    <t>VC.CONSO.</t>
  </si>
  <si>
    <t>0002707PPM000</t>
  </si>
  <si>
    <t>FV24000854</t>
  </si>
  <si>
    <t>CLT2014514</t>
  </si>
  <si>
    <t>krimi leila</t>
  </si>
  <si>
    <t>08107000772001700257</t>
  </si>
  <si>
    <t>FV24000697</t>
  </si>
  <si>
    <t>CLT2400228</t>
  </si>
  <si>
    <t>HARMI ISMAIL</t>
  </si>
  <si>
    <t>17001000000085429058</t>
  </si>
  <si>
    <t>FV24000553</t>
  </si>
  <si>
    <t>FV24000483</t>
  </si>
  <si>
    <t>CLT2400128</t>
  </si>
  <si>
    <t>selmaoui sondes</t>
  </si>
  <si>
    <t>12309000000227977319</t>
  </si>
  <si>
    <t>FV24000331</t>
  </si>
  <si>
    <t>CLT2400067</t>
  </si>
  <si>
    <t>SONIA ALMAJDI</t>
  </si>
  <si>
    <t>04504011404008032981</t>
  </si>
  <si>
    <t>FV24000325</t>
  </si>
  <si>
    <t>CLT2215361</t>
  </si>
  <si>
    <t>AFEF BELGACEM</t>
  </si>
  <si>
    <t>17706000000173704193</t>
  </si>
  <si>
    <t>FV24000028</t>
  </si>
  <si>
    <t>CLT2311300</t>
  </si>
  <si>
    <t>SAMIA GALLEL</t>
  </si>
  <si>
    <t>08300000002009568738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</si>
</sst>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0"/>
  </numFmts>
  <fonts count="2" x14ac:knownFonts="1">
    <font>
      <sz val="11"/>
      <name val="Aptos Narrow"/>
      <family val="2"/>
      <scheme val="minor"/>
    </font>
    <font>
      <b/>
      <sz val="1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0C0C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49" fontId="1" fillId="2" borderId="0" xfId="0" applyNumberFormat="1" applyFont="1" applyFill="1"/>
    <xf numFmtId="49" fontId="0" fillId="0" borderId="0" xfId="0" applyNumberFormat="1"/>
    <xf numFmtId="14" fontId="0" fillId="0" borderId="0" xfId="0" applyNumberFormat="1"/>
    <xf numFmtId="164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AA157" totalsRowShown="0">
  <autoFilter ref="A1:AA157" xr:uid="{00000000-0009-0000-0100-000001000000}"/>
  <tableColumns count="27">
    <tableColumn id="1" xr3:uid="{00000000-0010-0000-0000-000001000000}" name="N°"/>
    <tableColumn id="2" xr3:uid="{00000000-0010-0000-0000-000002000000}" name="N° client facturé"/>
    <tableColumn id="3" xr3:uid="{00000000-0010-0000-0000-000003000000}" name="Nom"/>
    <tableColumn id="4" xr3:uid="{00000000-0010-0000-0000-000004000000}" name="Unite Code"/>
    <tableColumn id="5" xr3:uid="{00000000-0010-0000-0000-000005000000}" name="N° Client"/>
    <tableColumn id="6" xr3:uid="{00000000-0010-0000-0000-000006000000}" name="Nom Client"/>
    <tableColumn id="7" xr3:uid="{00000000-0010-0000-0000-000007000000}" name="Type vente à crédit"/>
    <tableColumn id="8" xr3:uid="{00000000-0010-0000-0000-000008000000}" name="Groupe compta. client"/>
    <tableColumn id="9" xr3:uid="{00000000-0010-0000-0000-000009000000}" name="Code devise"/>
    <tableColumn id="10" xr3:uid="{00000000-0010-0000-0000-00000A000000}" name="Date comptabilisation"/>
    <tableColumn id="11" xr3:uid="{00000000-0010-0000-0000-00000B000000}" name="N° identif. intracomm."/>
    <tableColumn id="12" xr3:uid="{00000000-0010-0000-0000-00000C000000}" name="Date d'échéance"/>
    <tableColumn id="13" xr3:uid="{00000000-0010-0000-0000-00000D000000}" name="Montant"/>
    <tableColumn id="14" xr3:uid="{00000000-0010-0000-0000-00000E000000}" name="Montant TTC"/>
    <tableColumn id="15" xr3:uid="{00000000-0010-0000-0000-00000F000000}" name="Frais Dossier"/>
    <tableColumn id="16" xr3:uid="{00000000-0010-0000-0000-000010000000}" name="Montant HT Intérêt_x000a_"/>
    <tableColumn id="17" xr3:uid="{00000000-0010-0000-0000-000011000000}" name="Montant TVA Intérêt_x000a_"/>
    <tableColumn id="18" xr3:uid="{00000000-0010-0000-0000-000012000000}" name="RIB Customer"/>
    <tableColumn id="19" xr3:uid="{00000000-0010-0000-0000-000013000000}" name="N° compte bancaire"/>
    <tableColumn id="20" xr3:uid="{00000000-0010-0000-0000-000014000000}" name="Montant ouvert"/>
    <tableColumn id="21" xr3:uid="{00000000-0010-0000-0000-000015000000}" name="Code magasin"/>
    <tableColumn id="22" xr3:uid="{00000000-0010-0000-0000-000016000000}" name="Nbre impressions"/>
    <tableColumn id="23" xr3:uid="{00000000-0010-0000-0000-000017000000}" name="Clôturé"/>
    <tableColumn id="24" xr3:uid="{00000000-0010-0000-0000-000018000000}" name="Annulé"/>
    <tableColumn id="25" xr3:uid="{00000000-0010-0000-0000-000019000000}" name="Nbr_Mois_Echéance"/>
    <tableColumn id="26" xr3:uid="{00000000-0010-0000-0000-00001A000000}" name="Facture Importée"/>
    <tableColumn id="27" xr3:uid="{00000000-0010-0000-0000-00001B000000}" name="Correctif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A157"/>
  <sheetViews>
    <sheetView tabSelected="1" workbookViewId="0">
      <pane ySplit="1" topLeftCell="A2" activePane="bottomLeft" state="frozen"/>
      <selection pane="bottomLeft" activeCell="A2" sqref="A2"/>
    </sheetView>
  </sheetViews>
  <sheetFormatPr baseColWidth="10" defaultRowHeight="14.5" x14ac:dyDescent="0.35"/>
  <cols>
    <col min="1" max="1" width="5.453125" bestFit="1" customWidth="1"/>
    <col min="2" max="2" width="17.54296875" bestFit="1" customWidth="1"/>
    <col min="3" max="3" width="7.54296875" bestFit="1" customWidth="1"/>
    <col min="4" max="4" width="13.26953125" bestFit="1" customWidth="1"/>
    <col min="5" max="5" width="11.08984375" bestFit="1" customWidth="1"/>
    <col min="6" max="6" width="13.26953125" bestFit="1" customWidth="1"/>
    <col min="7" max="7" width="20.08984375" bestFit="1" customWidth="1"/>
    <col min="8" max="8" width="23" bestFit="1" customWidth="1"/>
    <col min="9" max="9" width="14.08984375" bestFit="1" customWidth="1"/>
    <col min="10" max="11" width="22.7265625" bestFit="1" customWidth="1"/>
    <col min="12" max="12" width="18" bestFit="1" customWidth="1"/>
    <col min="13" max="13" width="11" bestFit="1" customWidth="1"/>
    <col min="14" max="14" width="14.54296875" bestFit="1" customWidth="1"/>
    <col min="15" max="15" width="14.453125" bestFit="1" customWidth="1"/>
    <col min="16" max="16" width="18.26953125" bestFit="1" customWidth="1"/>
    <col min="17" max="17" width="19.453125" bestFit="1" customWidth="1"/>
    <col min="18" max="18" width="15.08984375" bestFit="1" customWidth="1"/>
    <col min="19" max="19" width="20.54296875" bestFit="1" customWidth="1"/>
    <col min="20" max="20" width="17.26953125" bestFit="1" customWidth="1"/>
    <col min="21" max="21" width="15.54296875" bestFit="1" customWidth="1"/>
    <col min="22" max="22" width="18.81640625" bestFit="1" customWidth="1"/>
    <col min="23" max="23" width="9.81640625" bestFit="1" customWidth="1"/>
    <col min="24" max="24" width="9.7265625" bestFit="1" customWidth="1"/>
    <col min="25" max="26" width="21.26953125" bestFit="1" customWidth="1"/>
    <col min="27" max="27" width="11" bestFit="1" customWidth="1"/>
  </cols>
  <sheetData>
    <row r="1" spans="1:27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</row>
    <row r="2" spans="1:27" x14ac:dyDescent="0.35">
      <c r="A2" s="2" t="s">
        <v>27</v>
      </c>
      <c r="B2" s="2" t="s">
        <v>28</v>
      </c>
      <c r="C2" s="2" t="s">
        <v>29</v>
      </c>
      <c r="D2" s="2" t="s">
        <v>30</v>
      </c>
      <c r="E2" s="2" t="s">
        <v>28</v>
      </c>
      <c r="F2" s="2" t="s">
        <v>29</v>
      </c>
      <c r="G2" s="2" t="s">
        <v>31</v>
      </c>
      <c r="H2" s="2" t="s">
        <v>31</v>
      </c>
      <c r="I2" s="2" t="s">
        <v>32</v>
      </c>
      <c r="J2" s="3">
        <v>45657</v>
      </c>
      <c r="K2" s="2" t="s">
        <v>32</v>
      </c>
      <c r="L2" s="3">
        <v>45657</v>
      </c>
      <c r="M2" s="4">
        <v>1710.5909999999999</v>
      </c>
      <c r="N2" s="4">
        <v>2007.61</v>
      </c>
      <c r="O2" s="4">
        <v>25.21</v>
      </c>
      <c r="P2" s="4">
        <v>233.28</v>
      </c>
      <c r="Q2" s="4">
        <v>16.329599999999999</v>
      </c>
      <c r="R2" s="2" t="s">
        <v>33</v>
      </c>
      <c r="S2" s="2" t="s">
        <v>33</v>
      </c>
      <c r="T2" s="4">
        <v>0</v>
      </c>
      <c r="U2" s="2" t="s">
        <v>30</v>
      </c>
      <c r="V2" s="5">
        <v>0</v>
      </c>
      <c r="W2" s="5" t="b">
        <f>TRUE()</f>
        <v>1</v>
      </c>
      <c r="X2" s="5" t="b">
        <f>FALSE()</f>
        <v>0</v>
      </c>
      <c r="Y2" s="5">
        <v>18</v>
      </c>
      <c r="Z2" s="5" t="b">
        <f>TRUE()</f>
        <v>1</v>
      </c>
      <c r="AA2" s="5" t="b">
        <f>FALSE()</f>
        <v>0</v>
      </c>
    </row>
    <row r="3" spans="1:27" x14ac:dyDescent="0.35">
      <c r="A3" s="2" t="s">
        <v>34</v>
      </c>
      <c r="B3" s="2" t="s">
        <v>35</v>
      </c>
      <c r="C3" s="2" t="s">
        <v>36</v>
      </c>
      <c r="D3" s="2" t="s">
        <v>37</v>
      </c>
      <c r="E3" s="2" t="s">
        <v>35</v>
      </c>
      <c r="F3" s="2" t="s">
        <v>36</v>
      </c>
      <c r="G3" s="2" t="s">
        <v>31</v>
      </c>
      <c r="H3" s="2" t="s">
        <v>31</v>
      </c>
      <c r="I3" s="2" t="s">
        <v>32</v>
      </c>
      <c r="J3" s="3">
        <v>45653</v>
      </c>
      <c r="K3" s="2" t="s">
        <v>32</v>
      </c>
      <c r="L3" s="3">
        <v>45653</v>
      </c>
      <c r="M3" s="4">
        <v>1173.838</v>
      </c>
      <c r="N3" s="4">
        <v>1259.585</v>
      </c>
      <c r="O3" s="4">
        <v>25.21</v>
      </c>
      <c r="P3" s="4">
        <v>145.04251500000001</v>
      </c>
      <c r="Q3" s="4">
        <v>10.152976049999999</v>
      </c>
      <c r="R3" s="2" t="s">
        <v>38</v>
      </c>
      <c r="S3" s="2" t="s">
        <v>38</v>
      </c>
      <c r="T3" s="4">
        <v>0</v>
      </c>
      <c r="U3" s="2" t="s">
        <v>37</v>
      </c>
      <c r="V3" s="5">
        <v>0</v>
      </c>
      <c r="W3" s="5" t="b">
        <f>TRUE()</f>
        <v>1</v>
      </c>
      <c r="X3" s="5" t="b">
        <f>FALSE()</f>
        <v>0</v>
      </c>
      <c r="Y3" s="5">
        <v>18</v>
      </c>
      <c r="Z3" s="5" t="b">
        <f>TRUE()</f>
        <v>1</v>
      </c>
      <c r="AA3" s="5" t="b">
        <f>FALSE()</f>
        <v>0</v>
      </c>
    </row>
    <row r="4" spans="1:27" x14ac:dyDescent="0.35">
      <c r="A4" s="2" t="s">
        <v>39</v>
      </c>
      <c r="B4" s="2" t="s">
        <v>40</v>
      </c>
      <c r="C4" s="2" t="s">
        <v>41</v>
      </c>
      <c r="D4" s="2" t="s">
        <v>37</v>
      </c>
      <c r="E4" s="2" t="s">
        <v>40</v>
      </c>
      <c r="F4" s="2" t="s">
        <v>41</v>
      </c>
      <c r="G4" s="2" t="s">
        <v>31</v>
      </c>
      <c r="H4" s="2" t="s">
        <v>31</v>
      </c>
      <c r="I4" s="2" t="s">
        <v>32</v>
      </c>
      <c r="J4" s="3">
        <v>45652</v>
      </c>
      <c r="K4" s="2" t="s">
        <v>32</v>
      </c>
      <c r="L4" s="3">
        <v>45652</v>
      </c>
      <c r="M4" s="4">
        <v>2168.0230000000001</v>
      </c>
      <c r="N4" s="4">
        <v>2544.3560000000002</v>
      </c>
      <c r="O4" s="4">
        <v>25.21</v>
      </c>
      <c r="P4" s="4">
        <v>296.59486500000003</v>
      </c>
      <c r="Q4" s="4">
        <v>20.761640549999999</v>
      </c>
      <c r="R4" s="2" t="s">
        <v>42</v>
      </c>
      <c r="S4" s="2" t="s">
        <v>42</v>
      </c>
      <c r="T4" s="4">
        <v>0</v>
      </c>
      <c r="U4" s="2" t="s">
        <v>37</v>
      </c>
      <c r="V4" s="5">
        <v>0</v>
      </c>
      <c r="W4" s="5" t="b">
        <f>TRUE()</f>
        <v>1</v>
      </c>
      <c r="X4" s="5" t="b">
        <f>FALSE()</f>
        <v>0</v>
      </c>
      <c r="Y4" s="5">
        <v>18</v>
      </c>
      <c r="Z4" s="5" t="b">
        <f>TRUE()</f>
        <v>1</v>
      </c>
      <c r="AA4" s="5" t="b">
        <f>FALSE()</f>
        <v>0</v>
      </c>
    </row>
    <row r="5" spans="1:27" x14ac:dyDescent="0.35">
      <c r="A5" s="2" t="s">
        <v>43</v>
      </c>
      <c r="B5" s="2" t="s">
        <v>44</v>
      </c>
      <c r="C5" s="2" t="s">
        <v>45</v>
      </c>
      <c r="D5" s="2" t="s">
        <v>46</v>
      </c>
      <c r="E5" s="2" t="s">
        <v>44</v>
      </c>
      <c r="F5" s="2" t="s">
        <v>45</v>
      </c>
      <c r="G5" s="2" t="s">
        <v>31</v>
      </c>
      <c r="H5" s="2" t="s">
        <v>31</v>
      </c>
      <c r="I5" s="2" t="s">
        <v>32</v>
      </c>
      <c r="J5" s="3">
        <v>45651</v>
      </c>
      <c r="K5" s="2" t="s">
        <v>32</v>
      </c>
      <c r="L5" s="3">
        <v>45651</v>
      </c>
      <c r="M5" s="4">
        <v>489.44799999999998</v>
      </c>
      <c r="N5" s="4">
        <v>577.05399999999997</v>
      </c>
      <c r="O5" s="4">
        <v>25.21</v>
      </c>
      <c r="P5" s="4">
        <v>44.91</v>
      </c>
      <c r="Q5" s="4">
        <v>3.1436999999999999</v>
      </c>
      <c r="R5" s="2" t="s">
        <v>47</v>
      </c>
      <c r="S5" s="2" t="s">
        <v>47</v>
      </c>
      <c r="T5" s="4">
        <v>0</v>
      </c>
      <c r="U5" s="2" t="s">
        <v>46</v>
      </c>
      <c r="V5" s="5">
        <v>0</v>
      </c>
      <c r="W5" s="5" t="b">
        <f>TRUE()</f>
        <v>1</v>
      </c>
      <c r="X5" s="5" t="b">
        <f>FALSE()</f>
        <v>0</v>
      </c>
      <c r="Y5" s="5">
        <v>12</v>
      </c>
      <c r="Z5" s="5" t="b">
        <f>TRUE()</f>
        <v>1</v>
      </c>
      <c r="AA5" s="5" t="b">
        <f>FALSE()</f>
        <v>0</v>
      </c>
    </row>
    <row r="6" spans="1:27" x14ac:dyDescent="0.35">
      <c r="A6" s="2" t="s">
        <v>48</v>
      </c>
      <c r="B6" s="2" t="s">
        <v>49</v>
      </c>
      <c r="C6" s="2" t="s">
        <v>50</v>
      </c>
      <c r="D6" s="2" t="s">
        <v>37</v>
      </c>
      <c r="E6" s="2" t="s">
        <v>49</v>
      </c>
      <c r="F6" s="2" t="s">
        <v>50</v>
      </c>
      <c r="G6" s="2" t="s">
        <v>31</v>
      </c>
      <c r="H6" s="2" t="s">
        <v>31</v>
      </c>
      <c r="I6" s="2" t="s">
        <v>32</v>
      </c>
      <c r="J6" s="3">
        <v>45651</v>
      </c>
      <c r="K6" s="2" t="s">
        <v>32</v>
      </c>
      <c r="L6" s="3">
        <v>45651</v>
      </c>
      <c r="M6" s="4">
        <v>733.19600000000003</v>
      </c>
      <c r="N6" s="4">
        <v>864.28399999999999</v>
      </c>
      <c r="O6" s="4">
        <v>25.21</v>
      </c>
      <c r="P6" s="4">
        <v>68.489999999999995</v>
      </c>
      <c r="Q6" s="4">
        <v>4.7942999999999998</v>
      </c>
      <c r="R6" s="2" t="s">
        <v>51</v>
      </c>
      <c r="S6" s="2" t="s">
        <v>51</v>
      </c>
      <c r="T6" s="4">
        <v>0</v>
      </c>
      <c r="U6" s="2" t="s">
        <v>37</v>
      </c>
      <c r="V6" s="5">
        <v>0</v>
      </c>
      <c r="W6" s="5" t="b">
        <f>TRUE()</f>
        <v>1</v>
      </c>
      <c r="X6" s="5" t="b">
        <f>FALSE()</f>
        <v>0</v>
      </c>
      <c r="Y6" s="5">
        <v>12</v>
      </c>
      <c r="Z6" s="5" t="b">
        <f>TRUE()</f>
        <v>1</v>
      </c>
      <c r="AA6" s="5" t="b">
        <f>FALSE()</f>
        <v>0</v>
      </c>
    </row>
    <row r="7" spans="1:27" x14ac:dyDescent="0.35">
      <c r="A7" s="2" t="s">
        <v>52</v>
      </c>
      <c r="B7" s="2" t="s">
        <v>53</v>
      </c>
      <c r="C7" s="2" t="s">
        <v>54</v>
      </c>
      <c r="D7" s="2" t="s">
        <v>55</v>
      </c>
      <c r="E7" s="2" t="s">
        <v>53</v>
      </c>
      <c r="F7" s="2" t="s">
        <v>54</v>
      </c>
      <c r="G7" s="2" t="s">
        <v>31</v>
      </c>
      <c r="H7" s="2" t="s">
        <v>31</v>
      </c>
      <c r="I7" s="2" t="s">
        <v>32</v>
      </c>
      <c r="J7" s="3">
        <v>45650</v>
      </c>
      <c r="K7" s="2" t="s">
        <v>32</v>
      </c>
      <c r="L7" s="3">
        <v>45650</v>
      </c>
      <c r="M7" s="4">
        <v>666.21199999999999</v>
      </c>
      <c r="N7" s="4">
        <v>785.351</v>
      </c>
      <c r="O7" s="4">
        <v>25.21</v>
      </c>
      <c r="P7" s="4">
        <v>62.01</v>
      </c>
      <c r="Q7" s="4">
        <v>4.3407</v>
      </c>
      <c r="R7" s="2" t="s">
        <v>56</v>
      </c>
      <c r="S7" s="2" t="s">
        <v>56</v>
      </c>
      <c r="T7" s="4">
        <v>0</v>
      </c>
      <c r="U7" s="2" t="s">
        <v>55</v>
      </c>
      <c r="V7" s="5">
        <v>0</v>
      </c>
      <c r="W7" s="5" t="b">
        <f>TRUE()</f>
        <v>1</v>
      </c>
      <c r="X7" s="5" t="b">
        <f>FALSE()</f>
        <v>0</v>
      </c>
      <c r="Y7" s="5">
        <v>12</v>
      </c>
      <c r="Z7" s="5" t="b">
        <f>TRUE()</f>
        <v>1</v>
      </c>
      <c r="AA7" s="5" t="b">
        <f>FALSE()</f>
        <v>0</v>
      </c>
    </row>
    <row r="8" spans="1:27" x14ac:dyDescent="0.35">
      <c r="A8" s="2" t="s">
        <v>57</v>
      </c>
      <c r="B8" s="2" t="s">
        <v>58</v>
      </c>
      <c r="C8" s="2" t="s">
        <v>59</v>
      </c>
      <c r="D8" s="2" t="s">
        <v>37</v>
      </c>
      <c r="E8" s="2" t="s">
        <v>58</v>
      </c>
      <c r="F8" s="2" t="s">
        <v>59</v>
      </c>
      <c r="G8" s="2" t="s">
        <v>31</v>
      </c>
      <c r="H8" s="2" t="s">
        <v>31</v>
      </c>
      <c r="I8" s="2" t="s">
        <v>32</v>
      </c>
      <c r="J8" s="3">
        <v>45650</v>
      </c>
      <c r="K8" s="2" t="s">
        <v>32</v>
      </c>
      <c r="L8" s="3">
        <v>45650</v>
      </c>
      <c r="M8" s="4">
        <v>902.03700000000003</v>
      </c>
      <c r="N8" s="4">
        <v>1058.8610000000001</v>
      </c>
      <c r="O8" s="4">
        <v>25.21</v>
      </c>
      <c r="P8" s="4">
        <v>121.36499999999999</v>
      </c>
      <c r="Q8" s="4">
        <v>8.4955499999999997</v>
      </c>
      <c r="R8" s="2" t="s">
        <v>60</v>
      </c>
      <c r="S8" s="2" t="s">
        <v>60</v>
      </c>
      <c r="T8" s="4">
        <v>0</v>
      </c>
      <c r="U8" s="2" t="s">
        <v>37</v>
      </c>
      <c r="V8" s="5">
        <v>0</v>
      </c>
      <c r="W8" s="5" t="b">
        <f>TRUE()</f>
        <v>1</v>
      </c>
      <c r="X8" s="5" t="b">
        <f>FALSE()</f>
        <v>0</v>
      </c>
      <c r="Y8" s="5">
        <v>18</v>
      </c>
      <c r="Z8" s="5" t="b">
        <f>TRUE()</f>
        <v>1</v>
      </c>
      <c r="AA8" s="5" t="b">
        <f>FALSE()</f>
        <v>0</v>
      </c>
    </row>
    <row r="9" spans="1:27" x14ac:dyDescent="0.35">
      <c r="A9" s="2" t="s">
        <v>61</v>
      </c>
      <c r="B9" s="2" t="s">
        <v>62</v>
      </c>
      <c r="C9" s="2" t="s">
        <v>63</v>
      </c>
      <c r="D9" s="2" t="s">
        <v>64</v>
      </c>
      <c r="E9" s="2" t="s">
        <v>62</v>
      </c>
      <c r="F9" s="2" t="s">
        <v>63</v>
      </c>
      <c r="G9" s="2" t="s">
        <v>31</v>
      </c>
      <c r="H9" s="2" t="s">
        <v>65</v>
      </c>
      <c r="I9" s="2" t="s">
        <v>32</v>
      </c>
      <c r="J9" s="3">
        <v>45649</v>
      </c>
      <c r="K9" s="2" t="s">
        <v>32</v>
      </c>
      <c r="L9" s="3">
        <v>45649</v>
      </c>
      <c r="M9" s="4">
        <v>1175.1310000000001</v>
      </c>
      <c r="N9" s="4">
        <v>1379.307</v>
      </c>
      <c r="O9" s="4">
        <v>25.21</v>
      </c>
      <c r="P9" s="4">
        <v>159.16499999999999</v>
      </c>
      <c r="Q9" s="4">
        <v>11.141550000000001</v>
      </c>
      <c r="R9" s="2" t="s">
        <v>66</v>
      </c>
      <c r="S9" s="2" t="s">
        <v>66</v>
      </c>
      <c r="T9" s="4">
        <v>0</v>
      </c>
      <c r="U9" s="2" t="s">
        <v>64</v>
      </c>
      <c r="V9" s="5">
        <v>0</v>
      </c>
      <c r="W9" s="5" t="b">
        <f>TRUE()</f>
        <v>1</v>
      </c>
      <c r="X9" s="5" t="b">
        <f>FALSE()</f>
        <v>0</v>
      </c>
      <c r="Y9" s="5">
        <v>18</v>
      </c>
      <c r="Z9" s="5" t="b">
        <f>TRUE()</f>
        <v>1</v>
      </c>
      <c r="AA9" s="5" t="b">
        <f>FALSE()</f>
        <v>0</v>
      </c>
    </row>
    <row r="10" spans="1:27" x14ac:dyDescent="0.35">
      <c r="A10" s="2" t="s">
        <v>67</v>
      </c>
      <c r="B10" s="2" t="s">
        <v>68</v>
      </c>
      <c r="C10" s="2" t="s">
        <v>69</v>
      </c>
      <c r="D10" s="2" t="s">
        <v>37</v>
      </c>
      <c r="E10" s="2" t="s">
        <v>68</v>
      </c>
      <c r="F10" s="2" t="s">
        <v>69</v>
      </c>
      <c r="G10" s="2" t="s">
        <v>31</v>
      </c>
      <c r="H10" s="2" t="s">
        <v>31</v>
      </c>
      <c r="I10" s="2" t="s">
        <v>32</v>
      </c>
      <c r="J10" s="3">
        <v>45645</v>
      </c>
      <c r="K10" s="2" t="s">
        <v>32</v>
      </c>
      <c r="L10" s="3">
        <v>45645</v>
      </c>
      <c r="M10" s="4">
        <v>675.51499999999999</v>
      </c>
      <c r="N10" s="4">
        <v>796.31399999999996</v>
      </c>
      <c r="O10" s="4">
        <v>25.21</v>
      </c>
      <c r="P10" s="4">
        <v>62.91</v>
      </c>
      <c r="Q10" s="4">
        <v>4.4036999999999997</v>
      </c>
      <c r="R10" s="2" t="s">
        <v>70</v>
      </c>
      <c r="S10" s="2" t="s">
        <v>70</v>
      </c>
      <c r="T10" s="4">
        <v>0</v>
      </c>
      <c r="U10" s="2" t="s">
        <v>37</v>
      </c>
      <c r="V10" s="5">
        <v>0</v>
      </c>
      <c r="W10" s="5" t="b">
        <f>TRUE()</f>
        <v>1</v>
      </c>
      <c r="X10" s="5" t="b">
        <f>FALSE()</f>
        <v>0</v>
      </c>
      <c r="Y10" s="5">
        <v>12</v>
      </c>
      <c r="Z10" s="5" t="b">
        <f>TRUE()</f>
        <v>1</v>
      </c>
      <c r="AA10" s="5" t="b">
        <f>FALSE()</f>
        <v>0</v>
      </c>
    </row>
    <row r="11" spans="1:27" x14ac:dyDescent="0.35">
      <c r="A11" s="2" t="s">
        <v>71</v>
      </c>
      <c r="B11" s="2" t="s">
        <v>72</v>
      </c>
      <c r="C11" s="2" t="s">
        <v>73</v>
      </c>
      <c r="D11" s="2" t="s">
        <v>37</v>
      </c>
      <c r="E11" s="2" t="s">
        <v>72</v>
      </c>
      <c r="F11" s="2" t="s">
        <v>73</v>
      </c>
      <c r="G11" s="2" t="s">
        <v>31</v>
      </c>
      <c r="H11" s="2" t="s">
        <v>65</v>
      </c>
      <c r="I11" s="2" t="s">
        <v>32</v>
      </c>
      <c r="J11" s="3">
        <v>45645</v>
      </c>
      <c r="K11" s="2" t="s">
        <v>32</v>
      </c>
      <c r="L11" s="3">
        <v>45644</v>
      </c>
      <c r="M11" s="4">
        <v>1102.8589999999999</v>
      </c>
      <c r="N11" s="4">
        <v>1294.502</v>
      </c>
      <c r="O11" s="4">
        <v>25.21</v>
      </c>
      <c r="P11" s="4">
        <v>149.16149999999999</v>
      </c>
      <c r="Q11" s="4">
        <v>10.441305</v>
      </c>
      <c r="R11" s="2" t="s">
        <v>74</v>
      </c>
      <c r="S11" s="2" t="s">
        <v>74</v>
      </c>
      <c r="T11" s="4">
        <v>0</v>
      </c>
      <c r="U11" s="2" t="s">
        <v>37</v>
      </c>
      <c r="V11" s="5">
        <v>0</v>
      </c>
      <c r="W11" s="5" t="b">
        <f>TRUE()</f>
        <v>1</v>
      </c>
      <c r="X11" s="5" t="b">
        <f>FALSE()</f>
        <v>0</v>
      </c>
      <c r="Y11" s="5">
        <v>18</v>
      </c>
      <c r="Z11" s="5" t="b">
        <f>TRUE()</f>
        <v>1</v>
      </c>
      <c r="AA11" s="5" t="b">
        <f>FALSE()</f>
        <v>0</v>
      </c>
    </row>
    <row r="12" spans="1:27" x14ac:dyDescent="0.35">
      <c r="A12" s="2" t="s">
        <v>75</v>
      </c>
      <c r="B12" s="2" t="s">
        <v>76</v>
      </c>
      <c r="C12" s="2" t="s">
        <v>77</v>
      </c>
      <c r="D12" s="2" t="s">
        <v>78</v>
      </c>
      <c r="E12" s="2" t="s">
        <v>76</v>
      </c>
      <c r="F12" s="2" t="s">
        <v>77</v>
      </c>
      <c r="G12" s="2" t="s">
        <v>31</v>
      </c>
      <c r="H12" s="2" t="s">
        <v>31</v>
      </c>
      <c r="I12" s="2" t="s">
        <v>32</v>
      </c>
      <c r="J12" s="3">
        <v>45645</v>
      </c>
      <c r="K12" s="2" t="s">
        <v>32</v>
      </c>
      <c r="L12" s="3">
        <v>45645</v>
      </c>
      <c r="M12" s="4">
        <v>1516.499</v>
      </c>
      <c r="N12" s="4">
        <v>1779.864</v>
      </c>
      <c r="O12" s="4">
        <v>25.21</v>
      </c>
      <c r="P12" s="4">
        <v>206.41499999999999</v>
      </c>
      <c r="Q12" s="4">
        <v>14.44905</v>
      </c>
      <c r="R12" s="2" t="s">
        <v>79</v>
      </c>
      <c r="S12" s="2" t="s">
        <v>79</v>
      </c>
      <c r="T12" s="4">
        <v>0</v>
      </c>
      <c r="U12" s="2" t="s">
        <v>78</v>
      </c>
      <c r="V12" s="5">
        <v>0</v>
      </c>
      <c r="W12" s="5" t="b">
        <f>TRUE()</f>
        <v>1</v>
      </c>
      <c r="X12" s="5" t="b">
        <f>FALSE()</f>
        <v>0</v>
      </c>
      <c r="Y12" s="5">
        <v>18</v>
      </c>
      <c r="Z12" s="5" t="b">
        <f>TRUE()</f>
        <v>1</v>
      </c>
      <c r="AA12" s="5" t="b">
        <f>FALSE()</f>
        <v>0</v>
      </c>
    </row>
    <row r="13" spans="1:27" x14ac:dyDescent="0.35">
      <c r="A13" s="2" t="s">
        <v>80</v>
      </c>
      <c r="B13" s="2" t="s">
        <v>81</v>
      </c>
      <c r="C13" s="2" t="s">
        <v>82</v>
      </c>
      <c r="D13" s="2" t="s">
        <v>37</v>
      </c>
      <c r="E13" s="2" t="s">
        <v>81</v>
      </c>
      <c r="F13" s="2" t="s">
        <v>82</v>
      </c>
      <c r="G13" s="2" t="s">
        <v>31</v>
      </c>
      <c r="H13" s="2" t="s">
        <v>65</v>
      </c>
      <c r="I13" s="2" t="s">
        <v>32</v>
      </c>
      <c r="J13" s="3">
        <v>45644</v>
      </c>
      <c r="K13" s="2" t="s">
        <v>32</v>
      </c>
      <c r="L13" s="3">
        <v>45644</v>
      </c>
      <c r="M13" s="4">
        <v>2547.8560000000002</v>
      </c>
      <c r="N13" s="4">
        <v>2811.0120000000002</v>
      </c>
      <c r="O13" s="4">
        <v>25.21</v>
      </c>
      <c r="P13" s="4">
        <v>328.04986500000001</v>
      </c>
      <c r="Q13" s="4">
        <v>22.96349055</v>
      </c>
      <c r="R13" s="2" t="s">
        <v>83</v>
      </c>
      <c r="S13" s="2" t="s">
        <v>83</v>
      </c>
      <c r="T13" s="4">
        <v>0</v>
      </c>
      <c r="U13" s="2" t="s">
        <v>37</v>
      </c>
      <c r="V13" s="5">
        <v>0</v>
      </c>
      <c r="W13" s="5" t="b">
        <f>TRUE()</f>
        <v>1</v>
      </c>
      <c r="X13" s="5" t="b">
        <f>FALSE()</f>
        <v>0</v>
      </c>
      <c r="Y13" s="5">
        <v>18</v>
      </c>
      <c r="Z13" s="5" t="b">
        <f>TRUE()</f>
        <v>1</v>
      </c>
      <c r="AA13" s="5" t="b">
        <f>FALSE()</f>
        <v>0</v>
      </c>
    </row>
    <row r="14" spans="1:27" x14ac:dyDescent="0.35">
      <c r="A14" s="2" t="s">
        <v>84</v>
      </c>
      <c r="B14" s="2" t="s">
        <v>85</v>
      </c>
      <c r="C14" s="2" t="s">
        <v>86</v>
      </c>
      <c r="D14" s="2" t="s">
        <v>37</v>
      </c>
      <c r="E14" s="2" t="s">
        <v>85</v>
      </c>
      <c r="F14" s="2" t="s">
        <v>86</v>
      </c>
      <c r="G14" s="2" t="s">
        <v>31</v>
      </c>
      <c r="H14" s="2" t="s">
        <v>65</v>
      </c>
      <c r="I14" s="2" t="s">
        <v>32</v>
      </c>
      <c r="J14" s="3">
        <v>45644</v>
      </c>
      <c r="K14" s="2" t="s">
        <v>32</v>
      </c>
      <c r="L14" s="3">
        <v>45644</v>
      </c>
      <c r="M14" s="4">
        <v>1095.154</v>
      </c>
      <c r="N14" s="4">
        <v>1285.462</v>
      </c>
      <c r="O14" s="4">
        <v>25.21</v>
      </c>
      <c r="P14" s="4">
        <v>148.095</v>
      </c>
      <c r="Q14" s="4">
        <v>10.36665</v>
      </c>
      <c r="R14" s="2" t="s">
        <v>87</v>
      </c>
      <c r="S14" s="2" t="s">
        <v>87</v>
      </c>
      <c r="T14" s="4">
        <v>0</v>
      </c>
      <c r="U14" s="2" t="s">
        <v>37</v>
      </c>
      <c r="V14" s="5">
        <v>0</v>
      </c>
      <c r="W14" s="5" t="b">
        <f>TRUE()</f>
        <v>1</v>
      </c>
      <c r="X14" s="5" t="b">
        <f>FALSE()</f>
        <v>0</v>
      </c>
      <c r="Y14" s="5">
        <v>18</v>
      </c>
      <c r="Z14" s="5" t="b">
        <f>TRUE()</f>
        <v>1</v>
      </c>
      <c r="AA14" s="5" t="b">
        <f>FALSE()</f>
        <v>0</v>
      </c>
    </row>
    <row r="15" spans="1:27" x14ac:dyDescent="0.35">
      <c r="A15" s="2" t="s">
        <v>88</v>
      </c>
      <c r="B15" s="2" t="s">
        <v>89</v>
      </c>
      <c r="C15" s="2" t="s">
        <v>90</v>
      </c>
      <c r="D15" s="2" t="s">
        <v>37</v>
      </c>
      <c r="E15" s="2" t="s">
        <v>89</v>
      </c>
      <c r="F15" s="2" t="s">
        <v>90</v>
      </c>
      <c r="G15" s="2" t="s">
        <v>31</v>
      </c>
      <c r="H15" s="2" t="s">
        <v>31</v>
      </c>
      <c r="I15" s="2" t="s">
        <v>32</v>
      </c>
      <c r="J15" s="3">
        <v>45642</v>
      </c>
      <c r="K15" s="2" t="s">
        <v>32</v>
      </c>
      <c r="L15" s="3">
        <v>45642</v>
      </c>
      <c r="M15" s="4">
        <v>933.28300000000002</v>
      </c>
      <c r="N15" s="4">
        <v>1001.638</v>
      </c>
      <c r="O15" s="4">
        <v>25.21</v>
      </c>
      <c r="P15" s="4">
        <v>114.61499999999999</v>
      </c>
      <c r="Q15" s="4">
        <v>8.0230499999999996</v>
      </c>
      <c r="R15" s="2" t="s">
        <v>91</v>
      </c>
      <c r="S15" s="2" t="s">
        <v>91</v>
      </c>
      <c r="T15" s="4">
        <v>0</v>
      </c>
      <c r="U15" s="2" t="s">
        <v>37</v>
      </c>
      <c r="V15" s="5">
        <v>0</v>
      </c>
      <c r="W15" s="5" t="b">
        <f>TRUE()</f>
        <v>1</v>
      </c>
      <c r="X15" s="5" t="b">
        <f>FALSE()</f>
        <v>0</v>
      </c>
      <c r="Y15" s="5">
        <v>18</v>
      </c>
      <c r="Z15" s="5" t="b">
        <f>TRUE()</f>
        <v>1</v>
      </c>
      <c r="AA15" s="5" t="b">
        <f>FALSE()</f>
        <v>0</v>
      </c>
    </row>
    <row r="16" spans="1:27" x14ac:dyDescent="0.35">
      <c r="A16" s="2" t="s">
        <v>92</v>
      </c>
      <c r="B16" s="2" t="s">
        <v>93</v>
      </c>
      <c r="C16" s="2" t="s">
        <v>94</v>
      </c>
      <c r="D16" s="2" t="s">
        <v>37</v>
      </c>
      <c r="E16" s="2" t="s">
        <v>93</v>
      </c>
      <c r="F16" s="2" t="s">
        <v>94</v>
      </c>
      <c r="G16" s="2" t="s">
        <v>31</v>
      </c>
      <c r="H16" s="2" t="s">
        <v>65</v>
      </c>
      <c r="I16" s="2" t="s">
        <v>32</v>
      </c>
      <c r="J16" s="3">
        <v>45638</v>
      </c>
      <c r="K16" s="2" t="s">
        <v>32</v>
      </c>
      <c r="L16" s="3">
        <v>45668</v>
      </c>
      <c r="M16" s="4">
        <v>1174.1559999999999</v>
      </c>
      <c r="N16" s="4">
        <v>1378.162</v>
      </c>
      <c r="O16" s="4">
        <v>25.21</v>
      </c>
      <c r="P16" s="4">
        <v>159.03</v>
      </c>
      <c r="Q16" s="4">
        <v>11.132099999999999</v>
      </c>
      <c r="R16" s="2" t="s">
        <v>95</v>
      </c>
      <c r="S16" s="2" t="s">
        <v>95</v>
      </c>
      <c r="T16" s="4">
        <v>0</v>
      </c>
      <c r="U16" s="2" t="s">
        <v>37</v>
      </c>
      <c r="V16" s="5">
        <v>0</v>
      </c>
      <c r="W16" s="5" t="b">
        <f>TRUE()</f>
        <v>1</v>
      </c>
      <c r="X16" s="5" t="b">
        <f>FALSE()</f>
        <v>0</v>
      </c>
      <c r="Y16" s="5">
        <v>18</v>
      </c>
      <c r="Z16" s="5" t="b">
        <f>TRUE()</f>
        <v>1</v>
      </c>
      <c r="AA16" s="5" t="b">
        <f>FALSE()</f>
        <v>0</v>
      </c>
    </row>
    <row r="17" spans="1:27" x14ac:dyDescent="0.35">
      <c r="A17" s="2" t="s">
        <v>96</v>
      </c>
      <c r="B17" s="2" t="s">
        <v>97</v>
      </c>
      <c r="C17" s="2" t="s">
        <v>98</v>
      </c>
      <c r="D17" s="2" t="s">
        <v>99</v>
      </c>
      <c r="E17" s="2" t="s">
        <v>97</v>
      </c>
      <c r="F17" s="2" t="s">
        <v>98</v>
      </c>
      <c r="G17" s="2" t="s">
        <v>31</v>
      </c>
      <c r="H17" s="2" t="s">
        <v>31</v>
      </c>
      <c r="I17" s="2" t="s">
        <v>32</v>
      </c>
      <c r="J17" s="3">
        <v>45636</v>
      </c>
      <c r="K17" s="2" t="s">
        <v>32</v>
      </c>
      <c r="L17" s="3">
        <v>45636</v>
      </c>
      <c r="M17" s="4">
        <v>694.11199999999997</v>
      </c>
      <c r="N17" s="4">
        <v>818.22900000000004</v>
      </c>
      <c r="O17" s="4">
        <v>25.21</v>
      </c>
      <c r="P17" s="4">
        <v>64.709100000000007</v>
      </c>
      <c r="Q17" s="4">
        <v>4.5296370000000001</v>
      </c>
      <c r="R17" s="2" t="s">
        <v>100</v>
      </c>
      <c r="S17" s="2" t="s">
        <v>100</v>
      </c>
      <c r="T17" s="4">
        <v>0</v>
      </c>
      <c r="U17" s="2" t="s">
        <v>99</v>
      </c>
      <c r="V17" s="5">
        <v>0</v>
      </c>
      <c r="W17" s="5" t="b">
        <f>TRUE()</f>
        <v>1</v>
      </c>
      <c r="X17" s="5" t="b">
        <f>FALSE()</f>
        <v>0</v>
      </c>
      <c r="Y17" s="5">
        <v>12</v>
      </c>
      <c r="Z17" s="5" t="b">
        <f>TRUE()</f>
        <v>1</v>
      </c>
      <c r="AA17" s="5" t="b">
        <f>FALSE()</f>
        <v>0</v>
      </c>
    </row>
    <row r="18" spans="1:27" x14ac:dyDescent="0.35">
      <c r="A18" s="2" t="s">
        <v>101</v>
      </c>
      <c r="B18" s="2" t="s">
        <v>102</v>
      </c>
      <c r="C18" s="2" t="s">
        <v>103</v>
      </c>
      <c r="D18" s="2" t="s">
        <v>37</v>
      </c>
      <c r="E18" s="2" t="s">
        <v>102</v>
      </c>
      <c r="F18" s="2" t="s">
        <v>103</v>
      </c>
      <c r="G18" s="2" t="s">
        <v>31</v>
      </c>
      <c r="H18" s="2" t="s">
        <v>31</v>
      </c>
      <c r="I18" s="2" t="s">
        <v>32</v>
      </c>
      <c r="J18" s="3">
        <v>45631</v>
      </c>
      <c r="K18" s="2" t="s">
        <v>32</v>
      </c>
      <c r="L18" s="3">
        <v>45631</v>
      </c>
      <c r="M18" s="4">
        <v>2318.2249999999999</v>
      </c>
      <c r="N18" s="4">
        <v>2720.6019999999999</v>
      </c>
      <c r="O18" s="4">
        <v>25.21</v>
      </c>
      <c r="P18" s="4">
        <v>317.38499999999999</v>
      </c>
      <c r="Q18" s="4">
        <v>22.216950000000001</v>
      </c>
      <c r="R18" s="2" t="s">
        <v>104</v>
      </c>
      <c r="S18" s="2" t="s">
        <v>104</v>
      </c>
      <c r="T18" s="4">
        <v>0</v>
      </c>
      <c r="U18" s="2" t="s">
        <v>37</v>
      </c>
      <c r="V18" s="5">
        <v>0</v>
      </c>
      <c r="W18" s="5" t="b">
        <f>TRUE()</f>
        <v>1</v>
      </c>
      <c r="X18" s="5" t="b">
        <f>FALSE()</f>
        <v>0</v>
      </c>
      <c r="Y18" s="5">
        <v>18</v>
      </c>
      <c r="Z18" s="5" t="b">
        <f>TRUE()</f>
        <v>1</v>
      </c>
      <c r="AA18" s="5" t="b">
        <f>FALSE()</f>
        <v>0</v>
      </c>
    </row>
    <row r="19" spans="1:27" x14ac:dyDescent="0.35">
      <c r="A19" s="2" t="s">
        <v>105</v>
      </c>
      <c r="B19" s="2" t="s">
        <v>106</v>
      </c>
      <c r="C19" s="2" t="s">
        <v>107</v>
      </c>
      <c r="D19" s="2" t="s">
        <v>37</v>
      </c>
      <c r="E19" s="2" t="s">
        <v>106</v>
      </c>
      <c r="F19" s="2" t="s">
        <v>107</v>
      </c>
      <c r="G19" s="2" t="s">
        <v>31</v>
      </c>
      <c r="H19" s="2" t="s">
        <v>31</v>
      </c>
      <c r="I19" s="2" t="s">
        <v>32</v>
      </c>
      <c r="J19" s="3">
        <v>45623</v>
      </c>
      <c r="K19" s="2" t="s">
        <v>32</v>
      </c>
      <c r="L19" s="3">
        <v>45623</v>
      </c>
      <c r="M19" s="4">
        <v>1707.665</v>
      </c>
      <c r="N19" s="4">
        <v>2004.1759999999999</v>
      </c>
      <c r="O19" s="4">
        <v>25.21</v>
      </c>
      <c r="P19" s="4">
        <v>232.875</v>
      </c>
      <c r="Q19" s="4">
        <v>16.30125</v>
      </c>
      <c r="R19" s="2" t="s">
        <v>108</v>
      </c>
      <c r="S19" s="2" t="s">
        <v>108</v>
      </c>
      <c r="T19" s="4">
        <v>0</v>
      </c>
      <c r="U19" s="2" t="s">
        <v>37</v>
      </c>
      <c r="V19" s="5">
        <v>0</v>
      </c>
      <c r="W19" s="5" t="b">
        <f>TRUE()</f>
        <v>1</v>
      </c>
      <c r="X19" s="5" t="b">
        <f>FALSE()</f>
        <v>0</v>
      </c>
      <c r="Y19" s="5">
        <v>18</v>
      </c>
      <c r="Z19" s="5" t="b">
        <f>TRUE()</f>
        <v>1</v>
      </c>
      <c r="AA19" s="5" t="b">
        <f>FALSE()</f>
        <v>0</v>
      </c>
    </row>
    <row r="20" spans="1:27" x14ac:dyDescent="0.35">
      <c r="A20" s="2" t="s">
        <v>109</v>
      </c>
      <c r="B20" s="2" t="s">
        <v>110</v>
      </c>
      <c r="C20" s="2" t="s">
        <v>111</v>
      </c>
      <c r="D20" s="2" t="s">
        <v>30</v>
      </c>
      <c r="E20" s="2" t="s">
        <v>110</v>
      </c>
      <c r="F20" s="2" t="s">
        <v>111</v>
      </c>
      <c r="G20" s="2" t="s">
        <v>31</v>
      </c>
      <c r="H20" s="2" t="s">
        <v>31</v>
      </c>
      <c r="I20" s="2" t="s">
        <v>32</v>
      </c>
      <c r="J20" s="3">
        <v>45621</v>
      </c>
      <c r="K20" s="2" t="s">
        <v>32</v>
      </c>
      <c r="L20" s="3">
        <v>45621</v>
      </c>
      <c r="M20" s="4">
        <v>1926.14</v>
      </c>
      <c r="N20" s="4">
        <v>2260.5329999999999</v>
      </c>
      <c r="O20" s="4">
        <v>25.21</v>
      </c>
      <c r="P20" s="4">
        <v>263.11500000000001</v>
      </c>
      <c r="Q20" s="4">
        <v>18.418050000000001</v>
      </c>
      <c r="R20" s="2" t="s">
        <v>112</v>
      </c>
      <c r="S20" s="2" t="s">
        <v>112</v>
      </c>
      <c r="T20" s="4">
        <v>0</v>
      </c>
      <c r="U20" s="2" t="s">
        <v>30</v>
      </c>
      <c r="V20" s="5">
        <v>0</v>
      </c>
      <c r="W20" s="5" t="b">
        <f>TRUE()</f>
        <v>1</v>
      </c>
      <c r="X20" s="5" t="b">
        <f>FALSE()</f>
        <v>0</v>
      </c>
      <c r="Y20" s="5">
        <v>18</v>
      </c>
      <c r="Z20" s="5" t="b">
        <f>TRUE()</f>
        <v>1</v>
      </c>
      <c r="AA20" s="5" t="b">
        <f>FALSE()</f>
        <v>0</v>
      </c>
    </row>
    <row r="21" spans="1:27" x14ac:dyDescent="0.35">
      <c r="A21" s="2" t="s">
        <v>113</v>
      </c>
      <c r="B21" s="2" t="s">
        <v>114</v>
      </c>
      <c r="C21" s="2" t="s">
        <v>115</v>
      </c>
      <c r="D21" s="2" t="s">
        <v>37</v>
      </c>
      <c r="E21" s="2" t="s">
        <v>114</v>
      </c>
      <c r="F21" s="2" t="s">
        <v>115</v>
      </c>
      <c r="G21" s="2" t="s">
        <v>31</v>
      </c>
      <c r="H21" s="2" t="s">
        <v>65</v>
      </c>
      <c r="I21" s="2" t="s">
        <v>32</v>
      </c>
      <c r="J21" s="3">
        <v>45610</v>
      </c>
      <c r="K21" s="2" t="s">
        <v>32</v>
      </c>
      <c r="L21" s="3">
        <v>45610</v>
      </c>
      <c r="M21" s="4">
        <v>1885.2090000000001</v>
      </c>
      <c r="N21" s="4">
        <v>2020.1990000000001</v>
      </c>
      <c r="O21" s="4">
        <v>25.21</v>
      </c>
      <c r="P21" s="4">
        <v>234.76499999999999</v>
      </c>
      <c r="Q21" s="4">
        <v>16.43355</v>
      </c>
      <c r="R21" s="2" t="s">
        <v>116</v>
      </c>
      <c r="S21" s="2" t="s">
        <v>116</v>
      </c>
      <c r="T21" s="4">
        <v>0</v>
      </c>
      <c r="U21" s="2" t="s">
        <v>37</v>
      </c>
      <c r="V21" s="5">
        <v>0</v>
      </c>
      <c r="W21" s="5" t="b">
        <f>TRUE()</f>
        <v>1</v>
      </c>
      <c r="X21" s="5" t="b">
        <f>FALSE()</f>
        <v>0</v>
      </c>
      <c r="Y21" s="5">
        <v>18</v>
      </c>
      <c r="Z21" s="5" t="b">
        <f>TRUE()</f>
        <v>1</v>
      </c>
      <c r="AA21" s="5" t="b">
        <f>FALSE()</f>
        <v>0</v>
      </c>
    </row>
    <row r="22" spans="1:27" x14ac:dyDescent="0.35">
      <c r="A22" s="2" t="s">
        <v>117</v>
      </c>
      <c r="B22" s="2" t="s">
        <v>118</v>
      </c>
      <c r="C22" s="2" t="s">
        <v>119</v>
      </c>
      <c r="D22" s="2" t="s">
        <v>37</v>
      </c>
      <c r="E22" s="2" t="s">
        <v>118</v>
      </c>
      <c r="F22" s="2" t="s">
        <v>119</v>
      </c>
      <c r="G22" s="2" t="s">
        <v>31</v>
      </c>
      <c r="H22" s="2" t="s">
        <v>65</v>
      </c>
      <c r="I22" s="2" t="s">
        <v>32</v>
      </c>
      <c r="J22" s="3">
        <v>45603</v>
      </c>
      <c r="K22" s="2" t="s">
        <v>32</v>
      </c>
      <c r="L22" s="3">
        <v>45603</v>
      </c>
      <c r="M22" s="4">
        <v>950.70699999999999</v>
      </c>
      <c r="N22" s="4">
        <v>1115.9690000000001</v>
      </c>
      <c r="O22" s="4">
        <v>25.21</v>
      </c>
      <c r="P22" s="4">
        <v>128.10149999999999</v>
      </c>
      <c r="Q22" s="4">
        <v>8.9671050000000001</v>
      </c>
      <c r="R22" s="2" t="s">
        <v>120</v>
      </c>
      <c r="S22" s="2" t="s">
        <v>120</v>
      </c>
      <c r="T22" s="4">
        <v>0</v>
      </c>
      <c r="U22" s="2" t="s">
        <v>37</v>
      </c>
      <c r="V22" s="5">
        <v>0</v>
      </c>
      <c r="W22" s="5" t="b">
        <f>TRUE()</f>
        <v>1</v>
      </c>
      <c r="X22" s="5" t="b">
        <f>FALSE()</f>
        <v>0</v>
      </c>
      <c r="Y22" s="5">
        <v>18</v>
      </c>
      <c r="Z22" s="5" t="b">
        <f>TRUE()</f>
        <v>1</v>
      </c>
      <c r="AA22" s="5" t="b">
        <f>FALSE()</f>
        <v>0</v>
      </c>
    </row>
    <row r="23" spans="1:27" x14ac:dyDescent="0.35">
      <c r="A23" s="2" t="s">
        <v>121</v>
      </c>
      <c r="B23" s="2" t="s">
        <v>122</v>
      </c>
      <c r="C23" s="2" t="s">
        <v>123</v>
      </c>
      <c r="D23" s="2" t="s">
        <v>124</v>
      </c>
      <c r="E23" s="2" t="s">
        <v>122</v>
      </c>
      <c r="F23" s="2" t="s">
        <v>123</v>
      </c>
      <c r="G23" s="2" t="s">
        <v>31</v>
      </c>
      <c r="H23" s="2" t="s">
        <v>31</v>
      </c>
      <c r="I23" s="2" t="s">
        <v>32</v>
      </c>
      <c r="J23" s="3">
        <v>45597</v>
      </c>
      <c r="K23" s="2" t="s">
        <v>32</v>
      </c>
      <c r="L23" s="3">
        <v>45597</v>
      </c>
      <c r="M23" s="4">
        <v>1487.239</v>
      </c>
      <c r="N23" s="4">
        <v>1745.5309999999999</v>
      </c>
      <c r="O23" s="4">
        <v>25.21</v>
      </c>
      <c r="P23" s="4">
        <v>202.36500000000001</v>
      </c>
      <c r="Q23" s="4">
        <v>14.16555</v>
      </c>
      <c r="R23" s="2" t="s">
        <v>125</v>
      </c>
      <c r="S23" s="2" t="s">
        <v>125</v>
      </c>
      <c r="T23" s="4">
        <v>0</v>
      </c>
      <c r="U23" s="2" t="s">
        <v>124</v>
      </c>
      <c r="V23" s="5">
        <v>0</v>
      </c>
      <c r="W23" s="5" t="b">
        <f>TRUE()</f>
        <v>1</v>
      </c>
      <c r="X23" s="5" t="b">
        <f>FALSE()</f>
        <v>0</v>
      </c>
      <c r="Y23" s="5">
        <v>18</v>
      </c>
      <c r="Z23" s="5" t="b">
        <f>TRUE()</f>
        <v>1</v>
      </c>
      <c r="AA23" s="5" t="b">
        <f>FALSE()</f>
        <v>0</v>
      </c>
    </row>
    <row r="24" spans="1:27" x14ac:dyDescent="0.35">
      <c r="A24" s="2" t="s">
        <v>126</v>
      </c>
      <c r="B24" s="2" t="s">
        <v>127</v>
      </c>
      <c r="C24" s="2" t="s">
        <v>128</v>
      </c>
      <c r="D24" s="2" t="s">
        <v>129</v>
      </c>
      <c r="E24" s="2" t="s">
        <v>127</v>
      </c>
      <c r="F24" s="2" t="s">
        <v>128</v>
      </c>
      <c r="G24" s="2" t="s">
        <v>31</v>
      </c>
      <c r="H24" s="2" t="s">
        <v>31</v>
      </c>
      <c r="I24" s="2" t="s">
        <v>32</v>
      </c>
      <c r="J24" s="3">
        <v>45596</v>
      </c>
      <c r="K24" s="2" t="s">
        <v>32</v>
      </c>
      <c r="L24" s="3">
        <v>45596</v>
      </c>
      <c r="M24" s="4">
        <v>2643.1669999999999</v>
      </c>
      <c r="N24" s="4">
        <v>3103.2809999999999</v>
      </c>
      <c r="O24" s="4">
        <v>25.21</v>
      </c>
      <c r="P24" s="4">
        <v>350.73</v>
      </c>
      <c r="Q24" s="4">
        <v>24.551100000000002</v>
      </c>
      <c r="R24" s="2" t="s">
        <v>130</v>
      </c>
      <c r="S24" s="2" t="s">
        <v>130</v>
      </c>
      <c r="T24" s="4">
        <v>0</v>
      </c>
      <c r="U24" s="2" t="s">
        <v>129</v>
      </c>
      <c r="V24" s="5">
        <v>0</v>
      </c>
      <c r="W24" s="5" t="b">
        <f>TRUE()</f>
        <v>1</v>
      </c>
      <c r="X24" s="5" t="b">
        <f>FALSE()</f>
        <v>0</v>
      </c>
      <c r="Y24" s="5">
        <v>18</v>
      </c>
      <c r="Z24" s="5" t="b">
        <f>TRUE()</f>
        <v>1</v>
      </c>
      <c r="AA24" s="5" t="b">
        <f>FALSE()</f>
        <v>0</v>
      </c>
    </row>
    <row r="25" spans="1:27" x14ac:dyDescent="0.35">
      <c r="A25" s="2" t="s">
        <v>131</v>
      </c>
      <c r="B25" s="2" t="s">
        <v>132</v>
      </c>
      <c r="C25" s="2" t="s">
        <v>133</v>
      </c>
      <c r="D25" s="2" t="s">
        <v>37</v>
      </c>
      <c r="E25" s="2" t="s">
        <v>132</v>
      </c>
      <c r="F25" s="2" t="s">
        <v>133</v>
      </c>
      <c r="G25" s="2" t="s">
        <v>31</v>
      </c>
      <c r="H25" s="2" t="s">
        <v>31</v>
      </c>
      <c r="I25" s="2" t="s">
        <v>32</v>
      </c>
      <c r="J25" s="3">
        <v>45589</v>
      </c>
      <c r="K25" s="2" t="s">
        <v>32</v>
      </c>
      <c r="L25" s="3">
        <v>45589</v>
      </c>
      <c r="M25" s="4">
        <v>1973.932</v>
      </c>
      <c r="N25" s="4">
        <v>2316.6109999999999</v>
      </c>
      <c r="O25" s="4">
        <v>25.21</v>
      </c>
      <c r="P25" s="4">
        <v>269.73</v>
      </c>
      <c r="Q25" s="4">
        <v>18.8811</v>
      </c>
      <c r="R25" s="2" t="s">
        <v>134</v>
      </c>
      <c r="S25" s="2" t="s">
        <v>134</v>
      </c>
      <c r="T25" s="4">
        <v>0</v>
      </c>
      <c r="U25" s="2" t="s">
        <v>37</v>
      </c>
      <c r="V25" s="5">
        <v>0</v>
      </c>
      <c r="W25" s="5" t="b">
        <f>TRUE()</f>
        <v>1</v>
      </c>
      <c r="X25" s="5" t="b">
        <f>FALSE()</f>
        <v>0</v>
      </c>
      <c r="Y25" s="5">
        <v>18</v>
      </c>
      <c r="Z25" s="5" t="b">
        <f>TRUE()</f>
        <v>1</v>
      </c>
      <c r="AA25" s="5" t="b">
        <f>FALSE()</f>
        <v>0</v>
      </c>
    </row>
    <row r="26" spans="1:27" x14ac:dyDescent="0.35">
      <c r="A26" s="2" t="s">
        <v>135</v>
      </c>
      <c r="B26" s="2" t="s">
        <v>136</v>
      </c>
      <c r="C26" s="2" t="s">
        <v>137</v>
      </c>
      <c r="D26" s="2" t="s">
        <v>37</v>
      </c>
      <c r="E26" s="2" t="s">
        <v>136</v>
      </c>
      <c r="F26" s="2" t="s">
        <v>137</v>
      </c>
      <c r="G26" s="2" t="s">
        <v>31</v>
      </c>
      <c r="H26" s="2" t="s">
        <v>31</v>
      </c>
      <c r="I26" s="2" t="s">
        <v>32</v>
      </c>
      <c r="J26" s="3">
        <v>45583</v>
      </c>
      <c r="K26" s="2" t="s">
        <v>32</v>
      </c>
      <c r="L26" s="3">
        <v>45583</v>
      </c>
      <c r="M26" s="4">
        <v>980.06399999999996</v>
      </c>
      <c r="N26" s="4">
        <v>1150.4169999999999</v>
      </c>
      <c r="O26" s="4">
        <v>25.21</v>
      </c>
      <c r="P26" s="4">
        <v>132.16499999999999</v>
      </c>
      <c r="Q26" s="4">
        <v>9.2515499999999999</v>
      </c>
      <c r="R26" s="2" t="s">
        <v>138</v>
      </c>
      <c r="S26" s="2" t="s">
        <v>138</v>
      </c>
      <c r="T26" s="4">
        <v>0</v>
      </c>
      <c r="U26" s="2" t="s">
        <v>37</v>
      </c>
      <c r="V26" s="5">
        <v>0</v>
      </c>
      <c r="W26" s="5" t="b">
        <f>TRUE()</f>
        <v>1</v>
      </c>
      <c r="X26" s="5" t="b">
        <f>FALSE()</f>
        <v>0</v>
      </c>
      <c r="Y26" s="5">
        <v>18</v>
      </c>
      <c r="Z26" s="5" t="b">
        <f>TRUE()</f>
        <v>1</v>
      </c>
      <c r="AA26" s="5" t="b">
        <f>FALSE()</f>
        <v>0</v>
      </c>
    </row>
    <row r="27" spans="1:27" x14ac:dyDescent="0.35">
      <c r="A27" s="2" t="s">
        <v>139</v>
      </c>
      <c r="B27" s="2" t="s">
        <v>140</v>
      </c>
      <c r="C27" s="2" t="s">
        <v>141</v>
      </c>
      <c r="D27" s="2" t="s">
        <v>37</v>
      </c>
      <c r="E27" s="2" t="s">
        <v>140</v>
      </c>
      <c r="F27" s="2" t="s">
        <v>141</v>
      </c>
      <c r="G27" s="2" t="s">
        <v>31</v>
      </c>
      <c r="H27" s="2" t="s">
        <v>31</v>
      </c>
      <c r="I27" s="2" t="s">
        <v>32</v>
      </c>
      <c r="J27" s="3">
        <v>45581</v>
      </c>
      <c r="K27" s="2" t="s">
        <v>32</v>
      </c>
      <c r="L27" s="3">
        <v>45581</v>
      </c>
      <c r="M27" s="4">
        <v>863.024</v>
      </c>
      <c r="N27" s="4">
        <v>1013.083</v>
      </c>
      <c r="O27" s="4">
        <v>25.21</v>
      </c>
      <c r="P27" s="4">
        <v>115.965</v>
      </c>
      <c r="Q27" s="4">
        <v>8.1175499999999996</v>
      </c>
      <c r="R27" s="2" t="s">
        <v>142</v>
      </c>
      <c r="S27" s="2" t="s">
        <v>142</v>
      </c>
      <c r="T27" s="4">
        <v>0</v>
      </c>
      <c r="U27" s="2" t="s">
        <v>37</v>
      </c>
      <c r="V27" s="5">
        <v>0</v>
      </c>
      <c r="W27" s="5" t="b">
        <f>TRUE()</f>
        <v>1</v>
      </c>
      <c r="X27" s="5" t="b">
        <f>FALSE()</f>
        <v>0</v>
      </c>
      <c r="Y27" s="5">
        <v>18</v>
      </c>
      <c r="Z27" s="5" t="b">
        <f>TRUE()</f>
        <v>1</v>
      </c>
      <c r="AA27" s="5" t="b">
        <f>FALSE()</f>
        <v>0</v>
      </c>
    </row>
    <row r="28" spans="1:27" x14ac:dyDescent="0.35">
      <c r="A28" s="2" t="s">
        <v>143</v>
      </c>
      <c r="B28" s="2" t="s">
        <v>144</v>
      </c>
      <c r="C28" s="2" t="s">
        <v>145</v>
      </c>
      <c r="D28" s="2" t="s">
        <v>37</v>
      </c>
      <c r="E28" s="2" t="s">
        <v>144</v>
      </c>
      <c r="F28" s="2" t="s">
        <v>145</v>
      </c>
      <c r="G28" s="2" t="s">
        <v>31</v>
      </c>
      <c r="H28" s="2" t="s">
        <v>65</v>
      </c>
      <c r="I28" s="2" t="s">
        <v>32</v>
      </c>
      <c r="J28" s="3">
        <v>45567</v>
      </c>
      <c r="K28" s="2" t="s">
        <v>32</v>
      </c>
      <c r="L28" s="3">
        <v>45567</v>
      </c>
      <c r="M28" s="4">
        <v>2235.6889999999999</v>
      </c>
      <c r="N28" s="4">
        <v>2634.8090000000002</v>
      </c>
      <c r="O28" s="4">
        <v>25.21</v>
      </c>
      <c r="P28" s="4">
        <v>213.84</v>
      </c>
      <c r="Q28" s="4">
        <v>14.9688</v>
      </c>
      <c r="R28" s="2" t="s">
        <v>146</v>
      </c>
      <c r="S28" s="2" t="s">
        <v>146</v>
      </c>
      <c r="T28" s="4">
        <v>0</v>
      </c>
      <c r="U28" s="2" t="s">
        <v>37</v>
      </c>
      <c r="V28" s="5">
        <v>0</v>
      </c>
      <c r="W28" s="5" t="b">
        <f>TRUE()</f>
        <v>1</v>
      </c>
      <c r="X28" s="5" t="b">
        <f>FALSE()</f>
        <v>0</v>
      </c>
      <c r="Y28" s="5">
        <v>12</v>
      </c>
      <c r="Z28" s="5" t="b">
        <f>TRUE()</f>
        <v>1</v>
      </c>
      <c r="AA28" s="5" t="b">
        <f>FALSE()</f>
        <v>0</v>
      </c>
    </row>
    <row r="29" spans="1:27" x14ac:dyDescent="0.35">
      <c r="A29" s="2" t="s">
        <v>147</v>
      </c>
      <c r="B29" s="2" t="s">
        <v>148</v>
      </c>
      <c r="C29" s="2" t="s">
        <v>149</v>
      </c>
      <c r="D29" s="2" t="s">
        <v>37</v>
      </c>
      <c r="E29" s="2" t="s">
        <v>148</v>
      </c>
      <c r="F29" s="2" t="s">
        <v>149</v>
      </c>
      <c r="G29" s="2" t="s">
        <v>31</v>
      </c>
      <c r="H29" s="2" t="s">
        <v>31</v>
      </c>
      <c r="I29" s="2" t="s">
        <v>32</v>
      </c>
      <c r="J29" s="3">
        <v>45566</v>
      </c>
      <c r="K29" s="2" t="s">
        <v>32</v>
      </c>
      <c r="L29" s="3">
        <v>45566</v>
      </c>
      <c r="M29" s="4">
        <v>999.57100000000003</v>
      </c>
      <c r="N29" s="4">
        <v>1173.306</v>
      </c>
      <c r="O29" s="4">
        <v>25.21</v>
      </c>
      <c r="P29" s="4">
        <v>134.86500000000001</v>
      </c>
      <c r="Q29" s="4">
        <v>9.44055</v>
      </c>
      <c r="R29" s="2" t="s">
        <v>150</v>
      </c>
      <c r="S29" s="2" t="s">
        <v>150</v>
      </c>
      <c r="T29" s="4">
        <v>0</v>
      </c>
      <c r="U29" s="2" t="s">
        <v>37</v>
      </c>
      <c r="V29" s="5">
        <v>0</v>
      </c>
      <c r="W29" s="5" t="b">
        <f>TRUE()</f>
        <v>1</v>
      </c>
      <c r="X29" s="5" t="b">
        <f>FALSE()</f>
        <v>0</v>
      </c>
      <c r="Y29" s="5">
        <v>18</v>
      </c>
      <c r="Z29" s="5" t="b">
        <f>TRUE()</f>
        <v>1</v>
      </c>
      <c r="AA29" s="5" t="b">
        <f>FALSE()</f>
        <v>0</v>
      </c>
    </row>
    <row r="30" spans="1:27" x14ac:dyDescent="0.35">
      <c r="A30" s="2" t="s">
        <v>151</v>
      </c>
      <c r="B30" s="2" t="s">
        <v>152</v>
      </c>
      <c r="C30" s="2" t="s">
        <v>153</v>
      </c>
      <c r="D30" s="2" t="s">
        <v>154</v>
      </c>
      <c r="E30" s="2" t="s">
        <v>152</v>
      </c>
      <c r="F30" s="2" t="s">
        <v>153</v>
      </c>
      <c r="G30" s="2" t="s">
        <v>31</v>
      </c>
      <c r="H30" s="2" t="s">
        <v>31</v>
      </c>
      <c r="I30" s="2" t="s">
        <v>32</v>
      </c>
      <c r="J30" s="3">
        <v>45565</v>
      </c>
      <c r="K30" s="2" t="s">
        <v>32</v>
      </c>
      <c r="L30" s="3">
        <v>45565</v>
      </c>
      <c r="M30" s="4">
        <v>1419.5319999999999</v>
      </c>
      <c r="N30" s="4">
        <v>1603</v>
      </c>
      <c r="O30" s="4">
        <v>25.21</v>
      </c>
      <c r="P30" s="4">
        <v>0</v>
      </c>
      <c r="Q30" s="4">
        <v>0</v>
      </c>
      <c r="R30" s="2" t="s">
        <v>155</v>
      </c>
      <c r="S30" s="2" t="s">
        <v>155</v>
      </c>
      <c r="T30" s="4">
        <v>0</v>
      </c>
      <c r="U30" s="2" t="s">
        <v>154</v>
      </c>
      <c r="V30" s="5">
        <v>0</v>
      </c>
      <c r="W30" s="5" t="b">
        <f>TRUE()</f>
        <v>1</v>
      </c>
      <c r="X30" s="5" t="b">
        <f>FALSE()</f>
        <v>0</v>
      </c>
      <c r="Y30" s="5">
        <v>6</v>
      </c>
      <c r="Z30" s="5" t="b">
        <f>TRUE()</f>
        <v>1</v>
      </c>
      <c r="AA30" s="5" t="b">
        <f>FALSE()</f>
        <v>0</v>
      </c>
    </row>
    <row r="31" spans="1:27" x14ac:dyDescent="0.35">
      <c r="A31" s="2" t="s">
        <v>156</v>
      </c>
      <c r="B31" s="2" t="s">
        <v>157</v>
      </c>
      <c r="C31" s="2" t="s">
        <v>158</v>
      </c>
      <c r="D31" s="2" t="s">
        <v>37</v>
      </c>
      <c r="E31" s="2" t="s">
        <v>157</v>
      </c>
      <c r="F31" s="2" t="s">
        <v>158</v>
      </c>
      <c r="G31" s="2" t="s">
        <v>31</v>
      </c>
      <c r="H31" s="2" t="s">
        <v>31</v>
      </c>
      <c r="I31" s="2" t="s">
        <v>32</v>
      </c>
      <c r="J31" s="3">
        <v>45563</v>
      </c>
      <c r="K31" s="2" t="s">
        <v>32</v>
      </c>
      <c r="L31" s="3">
        <v>45563</v>
      </c>
      <c r="M31" s="4">
        <v>1730.098</v>
      </c>
      <c r="N31" s="4">
        <v>2030.499</v>
      </c>
      <c r="O31" s="4">
        <v>25.21</v>
      </c>
      <c r="P31" s="4">
        <v>235.98013499999999</v>
      </c>
      <c r="Q31" s="4">
        <v>16.51860945</v>
      </c>
      <c r="R31" s="2" t="s">
        <v>159</v>
      </c>
      <c r="S31" s="2" t="s">
        <v>159</v>
      </c>
      <c r="T31" s="4">
        <v>0</v>
      </c>
      <c r="U31" s="2" t="s">
        <v>37</v>
      </c>
      <c r="V31" s="5">
        <v>0</v>
      </c>
      <c r="W31" s="5" t="b">
        <f>TRUE()</f>
        <v>1</v>
      </c>
      <c r="X31" s="5" t="b">
        <f>FALSE()</f>
        <v>0</v>
      </c>
      <c r="Y31" s="5">
        <v>18</v>
      </c>
      <c r="Z31" s="5" t="b">
        <f>TRUE()</f>
        <v>1</v>
      </c>
      <c r="AA31" s="5" t="b">
        <f>FALSE()</f>
        <v>0</v>
      </c>
    </row>
    <row r="32" spans="1:27" x14ac:dyDescent="0.35">
      <c r="A32" s="2" t="s">
        <v>160</v>
      </c>
      <c r="B32" s="2" t="s">
        <v>161</v>
      </c>
      <c r="C32" s="2" t="s">
        <v>162</v>
      </c>
      <c r="D32" s="2" t="s">
        <v>37</v>
      </c>
      <c r="E32" s="2" t="s">
        <v>161</v>
      </c>
      <c r="F32" s="2" t="s">
        <v>162</v>
      </c>
      <c r="G32" s="2" t="s">
        <v>31</v>
      </c>
      <c r="H32" s="2" t="s">
        <v>31</v>
      </c>
      <c r="I32" s="2" t="s">
        <v>32</v>
      </c>
      <c r="J32" s="3">
        <v>45559</v>
      </c>
      <c r="K32" s="2" t="s">
        <v>32</v>
      </c>
      <c r="L32" s="3">
        <v>45559</v>
      </c>
      <c r="M32" s="4">
        <v>823.03399999999999</v>
      </c>
      <c r="N32" s="4">
        <v>966.15899999999999</v>
      </c>
      <c r="O32" s="4">
        <v>25.21</v>
      </c>
      <c r="P32" s="4">
        <v>110.42986500000001</v>
      </c>
      <c r="Q32" s="4">
        <v>7.7300905499999999</v>
      </c>
      <c r="R32" s="2" t="s">
        <v>163</v>
      </c>
      <c r="S32" s="2" t="s">
        <v>163</v>
      </c>
      <c r="T32" s="4">
        <v>0</v>
      </c>
      <c r="U32" s="2" t="s">
        <v>37</v>
      </c>
      <c r="V32" s="5">
        <v>0</v>
      </c>
      <c r="W32" s="5" t="b">
        <f>TRUE()</f>
        <v>1</v>
      </c>
      <c r="X32" s="5" t="b">
        <f>FALSE()</f>
        <v>0</v>
      </c>
      <c r="Y32" s="5">
        <v>18</v>
      </c>
      <c r="Z32" s="5" t="b">
        <f>TRUE()</f>
        <v>1</v>
      </c>
      <c r="AA32" s="5" t="b">
        <f>FALSE()</f>
        <v>0</v>
      </c>
    </row>
    <row r="33" spans="1:27" x14ac:dyDescent="0.35">
      <c r="A33" s="2" t="s">
        <v>164</v>
      </c>
      <c r="B33" s="2" t="s">
        <v>165</v>
      </c>
      <c r="C33" s="2" t="s">
        <v>166</v>
      </c>
      <c r="D33" s="2" t="s">
        <v>37</v>
      </c>
      <c r="E33" s="2" t="s">
        <v>165</v>
      </c>
      <c r="F33" s="2" t="s">
        <v>166</v>
      </c>
      <c r="G33" s="2" t="s">
        <v>31</v>
      </c>
      <c r="H33" s="2" t="s">
        <v>31</v>
      </c>
      <c r="I33" s="2" t="s">
        <v>32</v>
      </c>
      <c r="J33" s="3">
        <v>45554</v>
      </c>
      <c r="K33" s="2" t="s">
        <v>32</v>
      </c>
      <c r="L33" s="3">
        <v>45554</v>
      </c>
      <c r="M33" s="4">
        <v>2208.9879999999998</v>
      </c>
      <c r="N33" s="4">
        <v>2592.424</v>
      </c>
      <c r="O33" s="4">
        <v>25.21</v>
      </c>
      <c r="P33" s="4">
        <v>302.26499999999999</v>
      </c>
      <c r="Q33" s="4">
        <v>21.158550000000002</v>
      </c>
      <c r="R33" s="2" t="s">
        <v>167</v>
      </c>
      <c r="S33" s="2" t="s">
        <v>167</v>
      </c>
      <c r="T33" s="4">
        <v>0</v>
      </c>
      <c r="U33" s="2" t="s">
        <v>37</v>
      </c>
      <c r="V33" s="5">
        <v>0</v>
      </c>
      <c r="W33" s="5" t="b">
        <f>TRUE()</f>
        <v>1</v>
      </c>
      <c r="X33" s="5" t="b">
        <f>FALSE()</f>
        <v>0</v>
      </c>
      <c r="Y33" s="5">
        <v>18</v>
      </c>
      <c r="Z33" s="5" t="b">
        <f>TRUE()</f>
        <v>1</v>
      </c>
      <c r="AA33" s="5" t="b">
        <f>FALSE()</f>
        <v>0</v>
      </c>
    </row>
    <row r="34" spans="1:27" x14ac:dyDescent="0.35">
      <c r="A34" s="2" t="s">
        <v>168</v>
      </c>
      <c r="B34" s="2" t="s">
        <v>169</v>
      </c>
      <c r="C34" s="2" t="s">
        <v>170</v>
      </c>
      <c r="D34" s="2" t="s">
        <v>171</v>
      </c>
      <c r="E34" s="2" t="s">
        <v>169</v>
      </c>
      <c r="F34" s="2" t="s">
        <v>170</v>
      </c>
      <c r="G34" s="2" t="s">
        <v>31</v>
      </c>
      <c r="H34" s="2" t="s">
        <v>31</v>
      </c>
      <c r="I34" s="2" t="s">
        <v>32</v>
      </c>
      <c r="J34" s="3">
        <v>45553</v>
      </c>
      <c r="K34" s="2" t="s">
        <v>32</v>
      </c>
      <c r="L34" s="3">
        <v>45553</v>
      </c>
      <c r="M34" s="4">
        <v>784.99699999999996</v>
      </c>
      <c r="N34" s="4">
        <v>921.52700000000004</v>
      </c>
      <c r="O34" s="4">
        <v>25.21</v>
      </c>
      <c r="P34" s="4">
        <v>105.16500000000001</v>
      </c>
      <c r="Q34" s="4">
        <v>7.3615500000000003</v>
      </c>
      <c r="R34" s="2" t="s">
        <v>172</v>
      </c>
      <c r="S34" s="2" t="s">
        <v>172</v>
      </c>
      <c r="T34" s="4">
        <v>0</v>
      </c>
      <c r="U34" s="2" t="s">
        <v>171</v>
      </c>
      <c r="V34" s="5">
        <v>0</v>
      </c>
      <c r="W34" s="5" t="b">
        <f>TRUE()</f>
        <v>1</v>
      </c>
      <c r="X34" s="5" t="b">
        <f>FALSE()</f>
        <v>0</v>
      </c>
      <c r="Y34" s="5">
        <v>18</v>
      </c>
      <c r="Z34" s="5" t="b">
        <f>TRUE()</f>
        <v>1</v>
      </c>
      <c r="AA34" s="5" t="b">
        <f>FALSE()</f>
        <v>0</v>
      </c>
    </row>
    <row r="35" spans="1:27" x14ac:dyDescent="0.35">
      <c r="A35" s="2" t="s">
        <v>173</v>
      </c>
      <c r="B35" s="2" t="s">
        <v>174</v>
      </c>
      <c r="C35" s="2" t="s">
        <v>175</v>
      </c>
      <c r="D35" s="2" t="s">
        <v>37</v>
      </c>
      <c r="E35" s="2" t="s">
        <v>174</v>
      </c>
      <c r="F35" s="2" t="s">
        <v>175</v>
      </c>
      <c r="G35" s="2" t="s">
        <v>31</v>
      </c>
      <c r="H35" s="2" t="s">
        <v>31</v>
      </c>
      <c r="I35" s="2" t="s">
        <v>32</v>
      </c>
      <c r="J35" s="3">
        <v>45547</v>
      </c>
      <c r="K35" s="2" t="s">
        <v>32</v>
      </c>
      <c r="L35" s="3">
        <v>45547</v>
      </c>
      <c r="M35" s="4">
        <v>1584.7719999999999</v>
      </c>
      <c r="N35" s="4">
        <v>1859.9749999999999</v>
      </c>
      <c r="O35" s="4">
        <v>25.21</v>
      </c>
      <c r="P35" s="4">
        <v>215.86486500000001</v>
      </c>
      <c r="Q35" s="4">
        <v>15.11054055</v>
      </c>
      <c r="R35" s="2" t="s">
        <v>176</v>
      </c>
      <c r="S35" s="2" t="s">
        <v>176</v>
      </c>
      <c r="T35" s="4">
        <v>0</v>
      </c>
      <c r="U35" s="2" t="s">
        <v>37</v>
      </c>
      <c r="V35" s="5">
        <v>0</v>
      </c>
      <c r="W35" s="5" t="b">
        <f>TRUE()</f>
        <v>1</v>
      </c>
      <c r="X35" s="5" t="b">
        <f>FALSE()</f>
        <v>0</v>
      </c>
      <c r="Y35" s="5">
        <v>18</v>
      </c>
      <c r="Z35" s="5" t="b">
        <f>TRUE()</f>
        <v>1</v>
      </c>
      <c r="AA35" s="5" t="b">
        <f>FALSE()</f>
        <v>0</v>
      </c>
    </row>
    <row r="36" spans="1:27" x14ac:dyDescent="0.35">
      <c r="A36" s="2" t="s">
        <v>177</v>
      </c>
      <c r="B36" s="2" t="s">
        <v>178</v>
      </c>
      <c r="C36" s="2" t="s">
        <v>179</v>
      </c>
      <c r="D36" s="2" t="s">
        <v>37</v>
      </c>
      <c r="E36" s="2" t="s">
        <v>178</v>
      </c>
      <c r="F36" s="2" t="s">
        <v>179</v>
      </c>
      <c r="G36" s="2" t="s">
        <v>31</v>
      </c>
      <c r="H36" s="2" t="s">
        <v>31</v>
      </c>
      <c r="I36" s="2" t="s">
        <v>32</v>
      </c>
      <c r="J36" s="3">
        <v>45545</v>
      </c>
      <c r="K36" s="2" t="s">
        <v>32</v>
      </c>
      <c r="L36" s="3">
        <v>45545</v>
      </c>
      <c r="M36" s="4">
        <v>1511.6220000000001</v>
      </c>
      <c r="N36" s="4">
        <v>1774.1420000000001</v>
      </c>
      <c r="O36" s="4">
        <v>25.21</v>
      </c>
      <c r="P36" s="4">
        <v>205.74</v>
      </c>
      <c r="Q36" s="4">
        <v>14.4018</v>
      </c>
      <c r="R36" s="2" t="s">
        <v>180</v>
      </c>
      <c r="S36" s="2" t="s">
        <v>180</v>
      </c>
      <c r="T36" s="4">
        <v>0</v>
      </c>
      <c r="U36" s="2" t="s">
        <v>37</v>
      </c>
      <c r="V36" s="5">
        <v>0</v>
      </c>
      <c r="W36" s="5" t="b">
        <f>TRUE()</f>
        <v>1</v>
      </c>
      <c r="X36" s="5" t="b">
        <f>FALSE()</f>
        <v>0</v>
      </c>
      <c r="Y36" s="5">
        <v>18</v>
      </c>
      <c r="Z36" s="5" t="b">
        <f>TRUE()</f>
        <v>1</v>
      </c>
      <c r="AA36" s="5" t="b">
        <f>FALSE()</f>
        <v>0</v>
      </c>
    </row>
    <row r="37" spans="1:27" x14ac:dyDescent="0.35">
      <c r="A37" s="2" t="s">
        <v>181</v>
      </c>
      <c r="B37" s="2" t="s">
        <v>182</v>
      </c>
      <c r="C37" s="2" t="s">
        <v>183</v>
      </c>
      <c r="D37" s="2" t="s">
        <v>37</v>
      </c>
      <c r="E37" s="2" t="s">
        <v>182</v>
      </c>
      <c r="F37" s="2" t="s">
        <v>183</v>
      </c>
      <c r="G37" s="2" t="s">
        <v>31</v>
      </c>
      <c r="H37" s="2" t="s">
        <v>31</v>
      </c>
      <c r="I37" s="2" t="s">
        <v>32</v>
      </c>
      <c r="J37" s="3">
        <v>45544</v>
      </c>
      <c r="K37" s="2" t="s">
        <v>32</v>
      </c>
      <c r="L37" s="3">
        <v>45544</v>
      </c>
      <c r="M37" s="4">
        <v>999.57100000000003</v>
      </c>
      <c r="N37" s="4">
        <v>1173.306</v>
      </c>
      <c r="O37" s="4">
        <v>25.21</v>
      </c>
      <c r="P37" s="4">
        <v>134.86500000000001</v>
      </c>
      <c r="Q37" s="4">
        <v>9.44055</v>
      </c>
      <c r="R37" s="2" t="s">
        <v>184</v>
      </c>
      <c r="S37" s="2" t="s">
        <v>184</v>
      </c>
      <c r="T37" s="4">
        <v>0</v>
      </c>
      <c r="U37" s="2" t="s">
        <v>37</v>
      </c>
      <c r="V37" s="5">
        <v>0</v>
      </c>
      <c r="W37" s="5" t="b">
        <f>TRUE()</f>
        <v>1</v>
      </c>
      <c r="X37" s="5" t="b">
        <f>FALSE()</f>
        <v>0</v>
      </c>
      <c r="Y37" s="5">
        <v>18</v>
      </c>
      <c r="Z37" s="5" t="b">
        <f>TRUE()</f>
        <v>1</v>
      </c>
      <c r="AA37" s="5" t="b">
        <f>FALSE()</f>
        <v>0</v>
      </c>
    </row>
    <row r="38" spans="1:27" x14ac:dyDescent="0.35">
      <c r="A38" s="2" t="s">
        <v>185</v>
      </c>
      <c r="B38" s="2" t="s">
        <v>186</v>
      </c>
      <c r="C38" s="2" t="s">
        <v>187</v>
      </c>
      <c r="D38" s="2" t="s">
        <v>37</v>
      </c>
      <c r="E38" s="2" t="s">
        <v>186</v>
      </c>
      <c r="F38" s="2" t="s">
        <v>187</v>
      </c>
      <c r="G38" s="2" t="s">
        <v>31</v>
      </c>
      <c r="H38" s="2" t="s">
        <v>31</v>
      </c>
      <c r="I38" s="2" t="s">
        <v>32</v>
      </c>
      <c r="J38" s="3">
        <v>45541</v>
      </c>
      <c r="K38" s="2" t="s">
        <v>32</v>
      </c>
      <c r="L38" s="3">
        <v>45541</v>
      </c>
      <c r="M38" s="4">
        <v>532.77300000000002</v>
      </c>
      <c r="N38" s="4">
        <v>634</v>
      </c>
      <c r="O38" s="4">
        <v>25.21</v>
      </c>
      <c r="P38" s="4">
        <v>0</v>
      </c>
      <c r="Q38" s="4">
        <v>0</v>
      </c>
      <c r="R38" s="2" t="s">
        <v>188</v>
      </c>
      <c r="S38" s="2" t="s">
        <v>188</v>
      </c>
      <c r="T38" s="4">
        <v>0</v>
      </c>
      <c r="U38" s="2" t="s">
        <v>37</v>
      </c>
      <c r="V38" s="5">
        <v>0</v>
      </c>
      <c r="W38" s="5" t="b">
        <f>TRUE()</f>
        <v>1</v>
      </c>
      <c r="X38" s="5" t="b">
        <f>FALSE()</f>
        <v>0</v>
      </c>
      <c r="Y38" s="5">
        <v>6</v>
      </c>
      <c r="Z38" s="5" t="b">
        <f>TRUE()</f>
        <v>1</v>
      </c>
      <c r="AA38" s="5" t="b">
        <f>FALSE()</f>
        <v>0</v>
      </c>
    </row>
    <row r="39" spans="1:27" x14ac:dyDescent="0.35">
      <c r="A39" s="2" t="s">
        <v>189</v>
      </c>
      <c r="B39" s="2" t="s">
        <v>190</v>
      </c>
      <c r="C39" s="2" t="s">
        <v>191</v>
      </c>
      <c r="D39" s="2" t="s">
        <v>37</v>
      </c>
      <c r="E39" s="2" t="s">
        <v>190</v>
      </c>
      <c r="F39" s="2" t="s">
        <v>191</v>
      </c>
      <c r="G39" s="2" t="s">
        <v>31</v>
      </c>
      <c r="H39" s="2" t="s">
        <v>31</v>
      </c>
      <c r="I39" s="2" t="s">
        <v>32</v>
      </c>
      <c r="J39" s="3">
        <v>45538</v>
      </c>
      <c r="K39" s="2" t="s">
        <v>32</v>
      </c>
      <c r="L39" s="3">
        <v>45538</v>
      </c>
      <c r="M39" s="4">
        <v>696.31</v>
      </c>
      <c r="N39" s="4">
        <v>748.077</v>
      </c>
      <c r="O39" s="4">
        <v>25.21</v>
      </c>
      <c r="P39" s="4">
        <v>58.950090000000003</v>
      </c>
      <c r="Q39" s="4">
        <v>4.1265063</v>
      </c>
      <c r="R39" s="2" t="s">
        <v>192</v>
      </c>
      <c r="S39" s="2" t="s">
        <v>192</v>
      </c>
      <c r="T39" s="4">
        <v>0</v>
      </c>
      <c r="U39" s="2" t="s">
        <v>37</v>
      </c>
      <c r="V39" s="5">
        <v>0</v>
      </c>
      <c r="W39" s="5" t="b">
        <f>TRUE()</f>
        <v>1</v>
      </c>
      <c r="X39" s="5" t="b">
        <f>FALSE()</f>
        <v>0</v>
      </c>
      <c r="Y39" s="5">
        <v>12</v>
      </c>
      <c r="Z39" s="5" t="b">
        <f>TRUE()</f>
        <v>1</v>
      </c>
      <c r="AA39" s="5" t="b">
        <f>FALSE()</f>
        <v>0</v>
      </c>
    </row>
    <row r="40" spans="1:27" x14ac:dyDescent="0.35">
      <c r="A40" s="2" t="s">
        <v>193</v>
      </c>
      <c r="B40" s="2" t="s">
        <v>194</v>
      </c>
      <c r="C40" s="2" t="s">
        <v>195</v>
      </c>
      <c r="D40" s="2" t="s">
        <v>196</v>
      </c>
      <c r="E40" s="2" t="s">
        <v>194</v>
      </c>
      <c r="F40" s="2" t="s">
        <v>195</v>
      </c>
      <c r="G40" s="2" t="s">
        <v>31</v>
      </c>
      <c r="H40" s="2" t="s">
        <v>31</v>
      </c>
      <c r="I40" s="2" t="s">
        <v>32</v>
      </c>
      <c r="J40" s="3">
        <v>45533</v>
      </c>
      <c r="K40" s="2" t="s">
        <v>32</v>
      </c>
      <c r="L40" s="3">
        <v>45533</v>
      </c>
      <c r="M40" s="4">
        <v>2323.7359999999999</v>
      </c>
      <c r="N40" s="4">
        <v>2489.4229999999998</v>
      </c>
      <c r="O40" s="4">
        <v>25.21</v>
      </c>
      <c r="P40" s="4">
        <v>290.11500000000001</v>
      </c>
      <c r="Q40" s="4">
        <v>20.308050000000001</v>
      </c>
      <c r="R40" s="2" t="s">
        <v>197</v>
      </c>
      <c r="S40" s="2" t="s">
        <v>197</v>
      </c>
      <c r="T40" s="4">
        <v>0</v>
      </c>
      <c r="U40" s="2" t="s">
        <v>196</v>
      </c>
      <c r="V40" s="5">
        <v>0</v>
      </c>
      <c r="W40" s="5" t="b">
        <f>TRUE()</f>
        <v>1</v>
      </c>
      <c r="X40" s="5" t="b">
        <f>FALSE()</f>
        <v>0</v>
      </c>
      <c r="Y40" s="5">
        <v>18</v>
      </c>
      <c r="Z40" s="5" t="b">
        <f>TRUE()</f>
        <v>1</v>
      </c>
      <c r="AA40" s="5" t="b">
        <f>FALSE()</f>
        <v>0</v>
      </c>
    </row>
    <row r="41" spans="1:27" x14ac:dyDescent="0.35">
      <c r="A41" s="2" t="s">
        <v>198</v>
      </c>
      <c r="B41" s="2" t="s">
        <v>199</v>
      </c>
      <c r="C41" s="2" t="s">
        <v>200</v>
      </c>
      <c r="D41" s="2" t="s">
        <v>37</v>
      </c>
      <c r="E41" s="2" t="s">
        <v>199</v>
      </c>
      <c r="F41" s="2" t="s">
        <v>200</v>
      </c>
      <c r="G41" s="2" t="s">
        <v>31</v>
      </c>
      <c r="H41" s="2" t="s">
        <v>31</v>
      </c>
      <c r="I41" s="2" t="s">
        <v>32</v>
      </c>
      <c r="J41" s="3">
        <v>45532</v>
      </c>
      <c r="K41" s="2" t="s">
        <v>32</v>
      </c>
      <c r="L41" s="3">
        <v>45532</v>
      </c>
      <c r="M41" s="4">
        <v>1964.1780000000001</v>
      </c>
      <c r="N41" s="4">
        <v>2305.1669999999999</v>
      </c>
      <c r="O41" s="4">
        <v>25.21</v>
      </c>
      <c r="P41" s="4">
        <v>268.38</v>
      </c>
      <c r="Q41" s="4">
        <v>18.7866</v>
      </c>
      <c r="R41" s="2" t="s">
        <v>201</v>
      </c>
      <c r="S41" s="2" t="s">
        <v>201</v>
      </c>
      <c r="T41" s="4">
        <v>0</v>
      </c>
      <c r="U41" s="2" t="s">
        <v>37</v>
      </c>
      <c r="V41" s="5">
        <v>0</v>
      </c>
      <c r="W41" s="5" t="b">
        <f>TRUE()</f>
        <v>1</v>
      </c>
      <c r="X41" s="5" t="b">
        <f>FALSE()</f>
        <v>0</v>
      </c>
      <c r="Y41" s="5">
        <v>18</v>
      </c>
      <c r="Z41" s="5" t="b">
        <f>TRUE()</f>
        <v>1</v>
      </c>
      <c r="AA41" s="5" t="b">
        <f>FALSE()</f>
        <v>0</v>
      </c>
    </row>
    <row r="42" spans="1:27" x14ac:dyDescent="0.35">
      <c r="A42" s="2" t="s">
        <v>202</v>
      </c>
      <c r="B42" s="2" t="s">
        <v>203</v>
      </c>
      <c r="C42" s="2" t="s">
        <v>204</v>
      </c>
      <c r="D42" s="2" t="s">
        <v>205</v>
      </c>
      <c r="E42" s="2" t="s">
        <v>203</v>
      </c>
      <c r="F42" s="2" t="s">
        <v>204</v>
      </c>
      <c r="G42" s="2" t="s">
        <v>31</v>
      </c>
      <c r="H42" s="2" t="s">
        <v>31</v>
      </c>
      <c r="I42" s="2" t="s">
        <v>32</v>
      </c>
      <c r="J42" s="3">
        <v>45532</v>
      </c>
      <c r="K42" s="2" t="s">
        <v>32</v>
      </c>
      <c r="L42" s="3">
        <v>45532</v>
      </c>
      <c r="M42" s="4">
        <v>2339.326</v>
      </c>
      <c r="N42" s="4">
        <v>2750.9450000000002</v>
      </c>
      <c r="O42" s="4">
        <v>25.21</v>
      </c>
      <c r="P42" s="4">
        <v>273.77999999999997</v>
      </c>
      <c r="Q42" s="4">
        <v>19.1646</v>
      </c>
      <c r="R42" s="2" t="s">
        <v>206</v>
      </c>
      <c r="S42" s="2" t="s">
        <v>206</v>
      </c>
      <c r="T42" s="4">
        <v>0</v>
      </c>
      <c r="U42" s="2" t="s">
        <v>205</v>
      </c>
      <c r="V42" s="5">
        <v>0</v>
      </c>
      <c r="W42" s="5" t="b">
        <f>TRUE()</f>
        <v>1</v>
      </c>
      <c r="X42" s="5" t="b">
        <f>FALSE()</f>
        <v>0</v>
      </c>
      <c r="Y42" s="5">
        <v>18</v>
      </c>
      <c r="Z42" s="5" t="b">
        <f>TRUE()</f>
        <v>1</v>
      </c>
      <c r="AA42" s="5" t="b">
        <f>FALSE()</f>
        <v>0</v>
      </c>
    </row>
    <row r="43" spans="1:27" x14ac:dyDescent="0.35">
      <c r="A43" s="2" t="s">
        <v>207</v>
      </c>
      <c r="B43" s="2" t="s">
        <v>208</v>
      </c>
      <c r="C43" s="2" t="s">
        <v>209</v>
      </c>
      <c r="D43" s="2" t="s">
        <v>64</v>
      </c>
      <c r="E43" s="2" t="s">
        <v>208</v>
      </c>
      <c r="F43" s="2" t="s">
        <v>209</v>
      </c>
      <c r="G43" s="2" t="s">
        <v>31</v>
      </c>
      <c r="H43" s="2" t="s">
        <v>31</v>
      </c>
      <c r="I43" s="2" t="s">
        <v>32</v>
      </c>
      <c r="J43" s="3">
        <v>45524</v>
      </c>
      <c r="K43" s="2" t="s">
        <v>32</v>
      </c>
      <c r="L43" s="3">
        <v>45524</v>
      </c>
      <c r="M43" s="4">
        <v>901.06200000000001</v>
      </c>
      <c r="N43" s="4">
        <v>1057.7159999999999</v>
      </c>
      <c r="O43" s="4">
        <v>25.21</v>
      </c>
      <c r="P43" s="4">
        <v>121.23</v>
      </c>
      <c r="Q43" s="4">
        <v>8.4861000000000004</v>
      </c>
      <c r="R43" s="2" t="s">
        <v>210</v>
      </c>
      <c r="S43" s="2" t="s">
        <v>210</v>
      </c>
      <c r="T43" s="4">
        <v>0</v>
      </c>
      <c r="U43" s="2" t="s">
        <v>64</v>
      </c>
      <c r="V43" s="5">
        <v>0</v>
      </c>
      <c r="W43" s="5" t="b">
        <f>TRUE()</f>
        <v>1</v>
      </c>
      <c r="X43" s="5" t="b">
        <f>FALSE()</f>
        <v>0</v>
      </c>
      <c r="Y43" s="5">
        <v>18</v>
      </c>
      <c r="Z43" s="5" t="b">
        <f>TRUE()</f>
        <v>1</v>
      </c>
      <c r="AA43" s="5" t="b">
        <f>FALSE()</f>
        <v>0</v>
      </c>
    </row>
    <row r="44" spans="1:27" x14ac:dyDescent="0.35">
      <c r="A44" s="2" t="s">
        <v>211</v>
      </c>
      <c r="B44" s="2" t="s">
        <v>212</v>
      </c>
      <c r="C44" s="2" t="s">
        <v>213</v>
      </c>
      <c r="D44" s="2" t="s">
        <v>78</v>
      </c>
      <c r="E44" s="2" t="s">
        <v>212</v>
      </c>
      <c r="F44" s="2" t="s">
        <v>213</v>
      </c>
      <c r="G44" s="2" t="s">
        <v>31</v>
      </c>
      <c r="H44" s="2" t="s">
        <v>31</v>
      </c>
      <c r="I44" s="2" t="s">
        <v>32</v>
      </c>
      <c r="J44" s="3">
        <v>45518</v>
      </c>
      <c r="K44" s="2" t="s">
        <v>32</v>
      </c>
      <c r="L44" s="3">
        <v>45518</v>
      </c>
      <c r="M44" s="4">
        <v>1452.941</v>
      </c>
      <c r="N44" s="4">
        <v>1729</v>
      </c>
      <c r="O44" s="4">
        <v>25.21</v>
      </c>
      <c r="P44" s="4">
        <v>0</v>
      </c>
      <c r="Q44" s="4">
        <v>0</v>
      </c>
      <c r="R44" s="2" t="s">
        <v>214</v>
      </c>
      <c r="S44" s="2" t="s">
        <v>214</v>
      </c>
      <c r="T44" s="4">
        <v>0</v>
      </c>
      <c r="U44" s="2" t="s">
        <v>78</v>
      </c>
      <c r="V44" s="5">
        <v>0</v>
      </c>
      <c r="W44" s="5" t="b">
        <f>TRUE()</f>
        <v>1</v>
      </c>
      <c r="X44" s="5" t="b">
        <f>FALSE()</f>
        <v>0</v>
      </c>
      <c r="Y44" s="5">
        <v>6</v>
      </c>
      <c r="Z44" s="5" t="b">
        <f>TRUE()</f>
        <v>1</v>
      </c>
      <c r="AA44" s="5" t="b">
        <f>FALSE()</f>
        <v>0</v>
      </c>
    </row>
    <row r="45" spans="1:27" x14ac:dyDescent="0.35">
      <c r="A45" s="2" t="s">
        <v>215</v>
      </c>
      <c r="B45" s="2" t="s">
        <v>216</v>
      </c>
      <c r="C45" s="2" t="s">
        <v>217</v>
      </c>
      <c r="D45" s="2" t="s">
        <v>218</v>
      </c>
      <c r="E45" s="2" t="s">
        <v>216</v>
      </c>
      <c r="F45" s="2" t="s">
        <v>217</v>
      </c>
      <c r="G45" s="2" t="s">
        <v>31</v>
      </c>
      <c r="H45" s="2" t="s">
        <v>31</v>
      </c>
      <c r="I45" s="2" t="s">
        <v>32</v>
      </c>
      <c r="J45" s="3">
        <v>45513</v>
      </c>
      <c r="K45" s="2" t="s">
        <v>32</v>
      </c>
      <c r="L45" s="3">
        <v>45513</v>
      </c>
      <c r="M45" s="4">
        <v>801.68</v>
      </c>
      <c r="N45" s="4">
        <v>953.99900000000002</v>
      </c>
      <c r="O45" s="4">
        <v>25.21</v>
      </c>
      <c r="P45" s="4">
        <v>0</v>
      </c>
      <c r="Q45" s="4">
        <v>0</v>
      </c>
      <c r="R45" s="2" t="s">
        <v>219</v>
      </c>
      <c r="S45" s="2" t="s">
        <v>219</v>
      </c>
      <c r="T45" s="4">
        <v>0</v>
      </c>
      <c r="U45" s="2" t="s">
        <v>218</v>
      </c>
      <c r="V45" s="5">
        <v>0</v>
      </c>
      <c r="W45" s="5" t="b">
        <f>TRUE()</f>
        <v>1</v>
      </c>
      <c r="X45" s="5" t="b">
        <f>FALSE()</f>
        <v>0</v>
      </c>
      <c r="Y45" s="5">
        <v>6</v>
      </c>
      <c r="Z45" s="5" t="b">
        <f>TRUE()</f>
        <v>1</v>
      </c>
      <c r="AA45" s="5" t="b">
        <f>FALSE()</f>
        <v>0</v>
      </c>
    </row>
    <row r="46" spans="1:27" x14ac:dyDescent="0.35">
      <c r="A46" s="2" t="s">
        <v>220</v>
      </c>
      <c r="B46" s="2" t="s">
        <v>221</v>
      </c>
      <c r="C46" s="2" t="s">
        <v>222</v>
      </c>
      <c r="D46" s="2" t="s">
        <v>46</v>
      </c>
      <c r="E46" s="2" t="s">
        <v>221</v>
      </c>
      <c r="F46" s="2" t="s">
        <v>222</v>
      </c>
      <c r="G46" s="2" t="s">
        <v>31</v>
      </c>
      <c r="H46" s="2" t="s">
        <v>31</v>
      </c>
      <c r="I46" s="2" t="s">
        <v>32</v>
      </c>
      <c r="J46" s="3">
        <v>45509</v>
      </c>
      <c r="K46" s="2" t="s">
        <v>32</v>
      </c>
      <c r="L46" s="3">
        <v>45509</v>
      </c>
      <c r="M46" s="4">
        <v>2043.18</v>
      </c>
      <c r="N46" s="4">
        <v>2397.866</v>
      </c>
      <c r="O46" s="4">
        <v>25.21</v>
      </c>
      <c r="P46" s="4">
        <v>279.314865</v>
      </c>
      <c r="Q46" s="4">
        <v>19.552040550000001</v>
      </c>
      <c r="R46" s="2" t="s">
        <v>223</v>
      </c>
      <c r="S46" s="2" t="s">
        <v>223</v>
      </c>
      <c r="T46" s="4">
        <v>0</v>
      </c>
      <c r="U46" s="2" t="s">
        <v>46</v>
      </c>
      <c r="V46" s="5">
        <v>0</v>
      </c>
      <c r="W46" s="5" t="b">
        <f>TRUE()</f>
        <v>1</v>
      </c>
      <c r="X46" s="5" t="b">
        <f>FALSE()</f>
        <v>0</v>
      </c>
      <c r="Y46" s="5">
        <v>18</v>
      </c>
      <c r="Z46" s="5" t="b">
        <f>TRUE()</f>
        <v>1</v>
      </c>
      <c r="AA46" s="5" t="b">
        <f>FALSE()</f>
        <v>0</v>
      </c>
    </row>
    <row r="47" spans="1:27" x14ac:dyDescent="0.35">
      <c r="A47" s="2" t="s">
        <v>224</v>
      </c>
      <c r="B47" s="2" t="s">
        <v>225</v>
      </c>
      <c r="C47" s="2" t="s">
        <v>226</v>
      </c>
      <c r="D47" s="2" t="s">
        <v>99</v>
      </c>
      <c r="E47" s="2" t="s">
        <v>225</v>
      </c>
      <c r="F47" s="2" t="s">
        <v>226</v>
      </c>
      <c r="G47" s="2" t="s">
        <v>31</v>
      </c>
      <c r="H47" s="2" t="s">
        <v>31</v>
      </c>
      <c r="I47" s="2" t="s">
        <v>32</v>
      </c>
      <c r="J47" s="3">
        <v>45507</v>
      </c>
      <c r="K47" s="2" t="s">
        <v>32</v>
      </c>
      <c r="L47" s="3">
        <v>45507</v>
      </c>
      <c r="M47" s="4">
        <v>824.01</v>
      </c>
      <c r="N47" s="4">
        <v>967.30499999999995</v>
      </c>
      <c r="O47" s="4">
        <v>25.21</v>
      </c>
      <c r="P47" s="4">
        <v>110.565</v>
      </c>
      <c r="Q47" s="4">
        <v>7.7395500000000004</v>
      </c>
      <c r="R47" s="2" t="s">
        <v>227</v>
      </c>
      <c r="S47" s="2" t="s">
        <v>227</v>
      </c>
      <c r="T47" s="4">
        <v>0</v>
      </c>
      <c r="U47" s="2" t="s">
        <v>99</v>
      </c>
      <c r="V47" s="5">
        <v>0</v>
      </c>
      <c r="W47" s="5" t="b">
        <f>TRUE()</f>
        <v>1</v>
      </c>
      <c r="X47" s="5" t="b">
        <f>FALSE()</f>
        <v>0</v>
      </c>
      <c r="Y47" s="5">
        <v>18</v>
      </c>
      <c r="Z47" s="5" t="b">
        <f>TRUE()</f>
        <v>1</v>
      </c>
      <c r="AA47" s="5" t="b">
        <f>FALSE()</f>
        <v>0</v>
      </c>
    </row>
    <row r="48" spans="1:27" x14ac:dyDescent="0.35">
      <c r="A48" s="2" t="s">
        <v>228</v>
      </c>
      <c r="B48" s="2" t="s">
        <v>229</v>
      </c>
      <c r="C48" s="2" t="s">
        <v>230</v>
      </c>
      <c r="D48" s="2" t="s">
        <v>55</v>
      </c>
      <c r="E48" s="2" t="s">
        <v>229</v>
      </c>
      <c r="F48" s="2" t="s">
        <v>230</v>
      </c>
      <c r="G48" s="2" t="s">
        <v>31</v>
      </c>
      <c r="H48" s="2" t="s">
        <v>31</v>
      </c>
      <c r="I48" s="2" t="s">
        <v>32</v>
      </c>
      <c r="J48" s="3">
        <v>45507</v>
      </c>
      <c r="K48" s="2" t="s">
        <v>32</v>
      </c>
      <c r="L48" s="3">
        <v>45507</v>
      </c>
      <c r="M48" s="4">
        <v>706.97</v>
      </c>
      <c r="N48" s="4">
        <v>829.971</v>
      </c>
      <c r="O48" s="4">
        <v>25.21</v>
      </c>
      <c r="P48" s="4">
        <v>94.364999999999995</v>
      </c>
      <c r="Q48" s="4">
        <v>6.60555</v>
      </c>
      <c r="R48" s="2" t="s">
        <v>231</v>
      </c>
      <c r="S48" s="2" t="s">
        <v>231</v>
      </c>
      <c r="T48" s="4">
        <v>0</v>
      </c>
      <c r="U48" s="2" t="s">
        <v>55</v>
      </c>
      <c r="V48" s="5">
        <v>0</v>
      </c>
      <c r="W48" s="5" t="b">
        <f>TRUE()</f>
        <v>1</v>
      </c>
      <c r="X48" s="5" t="b">
        <f>FALSE()</f>
        <v>0</v>
      </c>
      <c r="Y48" s="5">
        <v>18</v>
      </c>
      <c r="Z48" s="5" t="b">
        <f>TRUE()</f>
        <v>1</v>
      </c>
      <c r="AA48" s="5" t="b">
        <f>FALSE()</f>
        <v>0</v>
      </c>
    </row>
    <row r="49" spans="1:27" x14ac:dyDescent="0.35">
      <c r="A49" s="2" t="s">
        <v>232</v>
      </c>
      <c r="B49" s="2" t="s">
        <v>233</v>
      </c>
      <c r="C49" s="2" t="s">
        <v>234</v>
      </c>
      <c r="D49" s="2" t="s">
        <v>37</v>
      </c>
      <c r="E49" s="2" t="s">
        <v>233</v>
      </c>
      <c r="F49" s="2" t="s">
        <v>234</v>
      </c>
      <c r="G49" s="2" t="s">
        <v>31</v>
      </c>
      <c r="H49" s="2" t="s">
        <v>31</v>
      </c>
      <c r="I49" s="2" t="s">
        <v>32</v>
      </c>
      <c r="J49" s="3">
        <v>45504</v>
      </c>
      <c r="K49" s="2" t="s">
        <v>32</v>
      </c>
      <c r="L49" s="3">
        <v>45504</v>
      </c>
      <c r="M49" s="4">
        <v>1487.239</v>
      </c>
      <c r="N49" s="4">
        <v>1745.5309999999999</v>
      </c>
      <c r="O49" s="4">
        <v>25.21</v>
      </c>
      <c r="P49" s="4">
        <v>202.36500000000001</v>
      </c>
      <c r="Q49" s="4">
        <v>14.16555</v>
      </c>
      <c r="R49" s="2" t="s">
        <v>235</v>
      </c>
      <c r="S49" s="2" t="s">
        <v>235</v>
      </c>
      <c r="T49" s="4">
        <v>0</v>
      </c>
      <c r="U49" s="2" t="s">
        <v>37</v>
      </c>
      <c r="V49" s="5">
        <v>0</v>
      </c>
      <c r="W49" s="5" t="b">
        <f>TRUE()</f>
        <v>1</v>
      </c>
      <c r="X49" s="5" t="b">
        <f>FALSE()</f>
        <v>0</v>
      </c>
      <c r="Y49" s="5">
        <v>18</v>
      </c>
      <c r="Z49" s="5" t="b">
        <f>TRUE()</f>
        <v>1</v>
      </c>
      <c r="AA49" s="5" t="b">
        <f>FALSE()</f>
        <v>0</v>
      </c>
    </row>
    <row r="50" spans="1:27" x14ac:dyDescent="0.35">
      <c r="A50" s="2" t="s">
        <v>236</v>
      </c>
      <c r="B50" s="2" t="s">
        <v>237</v>
      </c>
      <c r="C50" s="2" t="s">
        <v>238</v>
      </c>
      <c r="D50" s="2" t="s">
        <v>239</v>
      </c>
      <c r="E50" s="2" t="s">
        <v>237</v>
      </c>
      <c r="F50" s="2" t="s">
        <v>238</v>
      </c>
      <c r="G50" s="2" t="s">
        <v>31</v>
      </c>
      <c r="H50" s="2" t="s">
        <v>31</v>
      </c>
      <c r="I50" s="2" t="s">
        <v>32</v>
      </c>
      <c r="J50" s="3">
        <v>45503</v>
      </c>
      <c r="K50" s="2" t="s">
        <v>32</v>
      </c>
      <c r="L50" s="3">
        <v>45503</v>
      </c>
      <c r="M50" s="4">
        <v>891.30799999999999</v>
      </c>
      <c r="N50" s="4">
        <v>1046.271</v>
      </c>
      <c r="O50" s="4">
        <v>25.21</v>
      </c>
      <c r="P50" s="4">
        <v>119.879865</v>
      </c>
      <c r="Q50" s="4">
        <v>8.3915905500000001</v>
      </c>
      <c r="R50" s="2" t="s">
        <v>240</v>
      </c>
      <c r="S50" s="2" t="s">
        <v>240</v>
      </c>
      <c r="T50" s="4">
        <v>0</v>
      </c>
      <c r="U50" s="2" t="s">
        <v>239</v>
      </c>
      <c r="V50" s="5">
        <v>0</v>
      </c>
      <c r="W50" s="5" t="b">
        <f>TRUE()</f>
        <v>1</v>
      </c>
      <c r="X50" s="5" t="b">
        <f>FALSE()</f>
        <v>0</v>
      </c>
      <c r="Y50" s="5">
        <v>18</v>
      </c>
      <c r="Z50" s="5" t="b">
        <f>TRUE()</f>
        <v>1</v>
      </c>
      <c r="AA50" s="5" t="b">
        <f>FALSE()</f>
        <v>0</v>
      </c>
    </row>
    <row r="51" spans="1:27" x14ac:dyDescent="0.35">
      <c r="A51" s="2" t="s">
        <v>241</v>
      </c>
      <c r="B51" s="2" t="s">
        <v>242</v>
      </c>
      <c r="C51" s="2" t="s">
        <v>243</v>
      </c>
      <c r="D51" s="2" t="s">
        <v>244</v>
      </c>
      <c r="E51" s="2" t="s">
        <v>242</v>
      </c>
      <c r="F51" s="2" t="s">
        <v>243</v>
      </c>
      <c r="G51" s="2" t="s">
        <v>31</v>
      </c>
      <c r="H51" s="2" t="s">
        <v>31</v>
      </c>
      <c r="I51" s="2" t="s">
        <v>32</v>
      </c>
      <c r="J51" s="3">
        <v>45503</v>
      </c>
      <c r="K51" s="2" t="s">
        <v>32</v>
      </c>
      <c r="L51" s="3">
        <v>45503</v>
      </c>
      <c r="M51" s="4">
        <v>2461.6</v>
      </c>
      <c r="N51" s="4">
        <v>2888.8359999999998</v>
      </c>
      <c r="O51" s="4">
        <v>25.21</v>
      </c>
      <c r="P51" s="4">
        <v>337.23</v>
      </c>
      <c r="Q51" s="4">
        <v>23.606100000000001</v>
      </c>
      <c r="R51" s="2" t="s">
        <v>245</v>
      </c>
      <c r="S51" s="2" t="s">
        <v>245</v>
      </c>
      <c r="T51" s="4">
        <v>0</v>
      </c>
      <c r="U51" s="2" t="s">
        <v>244</v>
      </c>
      <c r="V51" s="5">
        <v>0</v>
      </c>
      <c r="W51" s="5" t="b">
        <f>TRUE()</f>
        <v>1</v>
      </c>
      <c r="X51" s="5" t="b">
        <f>FALSE()</f>
        <v>0</v>
      </c>
      <c r="Y51" s="5">
        <v>18</v>
      </c>
      <c r="Z51" s="5" t="b">
        <f>TRUE()</f>
        <v>1</v>
      </c>
      <c r="AA51" s="5" t="b">
        <f>FALSE()</f>
        <v>0</v>
      </c>
    </row>
    <row r="52" spans="1:27" x14ac:dyDescent="0.35">
      <c r="A52" s="2" t="s">
        <v>246</v>
      </c>
      <c r="B52" s="2" t="s">
        <v>247</v>
      </c>
      <c r="C52" s="2" t="s">
        <v>248</v>
      </c>
      <c r="D52" s="2" t="s">
        <v>249</v>
      </c>
      <c r="E52" s="2" t="s">
        <v>247</v>
      </c>
      <c r="F52" s="2" t="s">
        <v>248</v>
      </c>
      <c r="G52" s="2" t="s">
        <v>31</v>
      </c>
      <c r="H52" s="2" t="s">
        <v>31</v>
      </c>
      <c r="I52" s="2" t="s">
        <v>32</v>
      </c>
      <c r="J52" s="3">
        <v>45499</v>
      </c>
      <c r="K52" s="2" t="s">
        <v>32</v>
      </c>
      <c r="L52" s="3">
        <v>45499</v>
      </c>
      <c r="M52" s="4">
        <v>2523.6309999999999</v>
      </c>
      <c r="N52" s="4">
        <v>2703.31</v>
      </c>
      <c r="O52" s="4">
        <v>25.21</v>
      </c>
      <c r="P52" s="4">
        <v>256.36500000000001</v>
      </c>
      <c r="Q52" s="4">
        <v>17.945550000000001</v>
      </c>
      <c r="R52" s="2" t="s">
        <v>250</v>
      </c>
      <c r="S52" s="2" t="s">
        <v>250</v>
      </c>
      <c r="T52" s="4">
        <v>0</v>
      </c>
      <c r="U52" s="2" t="s">
        <v>249</v>
      </c>
      <c r="V52" s="5">
        <v>0</v>
      </c>
      <c r="W52" s="5" t="b">
        <f>TRUE()</f>
        <v>1</v>
      </c>
      <c r="X52" s="5" t="b">
        <f>FALSE()</f>
        <v>0</v>
      </c>
      <c r="Y52" s="5">
        <v>18</v>
      </c>
      <c r="Z52" s="5" t="b">
        <f>TRUE()</f>
        <v>1</v>
      </c>
      <c r="AA52" s="5" t="b">
        <f>FALSE()</f>
        <v>0</v>
      </c>
    </row>
    <row r="53" spans="1:27" x14ac:dyDescent="0.35">
      <c r="A53" s="2" t="s">
        <v>251</v>
      </c>
      <c r="B53" s="2" t="s">
        <v>252</v>
      </c>
      <c r="C53" s="2" t="s">
        <v>253</v>
      </c>
      <c r="D53" s="2" t="s">
        <v>205</v>
      </c>
      <c r="E53" s="2" t="s">
        <v>252</v>
      </c>
      <c r="F53" s="2" t="s">
        <v>253</v>
      </c>
      <c r="G53" s="2" t="s">
        <v>31</v>
      </c>
      <c r="H53" s="2" t="s">
        <v>31</v>
      </c>
      <c r="I53" s="2" t="s">
        <v>32</v>
      </c>
      <c r="J53" s="3">
        <v>45497</v>
      </c>
      <c r="K53" s="2" t="s">
        <v>32</v>
      </c>
      <c r="L53" s="3">
        <v>45497</v>
      </c>
      <c r="M53" s="4">
        <v>644.05999999999995</v>
      </c>
      <c r="N53" s="4">
        <v>762.65700000000004</v>
      </c>
      <c r="O53" s="4">
        <v>25.21</v>
      </c>
      <c r="P53" s="4">
        <v>31.454999999999998</v>
      </c>
      <c r="Q53" s="4">
        <v>2.2018499999999999</v>
      </c>
      <c r="R53" s="2" t="s">
        <v>254</v>
      </c>
      <c r="S53" s="2" t="s">
        <v>254</v>
      </c>
      <c r="T53" s="4">
        <v>0</v>
      </c>
      <c r="U53" s="2" t="s">
        <v>205</v>
      </c>
      <c r="V53" s="5">
        <v>0</v>
      </c>
      <c r="W53" s="5" t="b">
        <f>TRUE()</f>
        <v>1</v>
      </c>
      <c r="X53" s="5" t="b">
        <f>FALSE()</f>
        <v>0</v>
      </c>
      <c r="Y53" s="5">
        <v>6</v>
      </c>
      <c r="Z53" s="5" t="b">
        <f>TRUE()</f>
        <v>1</v>
      </c>
      <c r="AA53" s="5" t="b">
        <f>FALSE()</f>
        <v>0</v>
      </c>
    </row>
    <row r="54" spans="1:27" x14ac:dyDescent="0.35">
      <c r="A54" s="2" t="s">
        <v>255</v>
      </c>
      <c r="B54" s="2" t="s">
        <v>256</v>
      </c>
      <c r="C54" s="2" t="s">
        <v>257</v>
      </c>
      <c r="D54" s="2" t="s">
        <v>258</v>
      </c>
      <c r="E54" s="2" t="s">
        <v>256</v>
      </c>
      <c r="F54" s="2" t="s">
        <v>257</v>
      </c>
      <c r="G54" s="2" t="s">
        <v>31</v>
      </c>
      <c r="H54" s="2" t="s">
        <v>31</v>
      </c>
      <c r="I54" s="2" t="s">
        <v>32</v>
      </c>
      <c r="J54" s="3">
        <v>45497</v>
      </c>
      <c r="K54" s="2" t="s">
        <v>32</v>
      </c>
      <c r="L54" s="3">
        <v>45497</v>
      </c>
      <c r="M54" s="4">
        <v>1140.683</v>
      </c>
      <c r="N54" s="4">
        <v>1344.4639999999999</v>
      </c>
      <c r="O54" s="4">
        <v>25.21</v>
      </c>
      <c r="P54" s="4">
        <v>107.91</v>
      </c>
      <c r="Q54" s="4">
        <v>7.5537000000000001</v>
      </c>
      <c r="R54" s="2" t="s">
        <v>259</v>
      </c>
      <c r="S54" s="2" t="s">
        <v>259</v>
      </c>
      <c r="T54" s="4">
        <v>0</v>
      </c>
      <c r="U54" s="2" t="s">
        <v>258</v>
      </c>
      <c r="V54" s="5">
        <v>0</v>
      </c>
      <c r="W54" s="5" t="b">
        <f>TRUE()</f>
        <v>1</v>
      </c>
      <c r="X54" s="5" t="b">
        <f>FALSE()</f>
        <v>0</v>
      </c>
      <c r="Y54" s="5">
        <v>12</v>
      </c>
      <c r="Z54" s="5" t="b">
        <f>TRUE()</f>
        <v>1</v>
      </c>
      <c r="AA54" s="5" t="b">
        <f>FALSE()</f>
        <v>0</v>
      </c>
    </row>
    <row r="55" spans="1:27" x14ac:dyDescent="0.35">
      <c r="A55" s="2" t="s">
        <v>260</v>
      </c>
      <c r="B55" s="2" t="s">
        <v>261</v>
      </c>
      <c r="C55" s="2" t="s">
        <v>262</v>
      </c>
      <c r="D55" s="2" t="s">
        <v>64</v>
      </c>
      <c r="E55" s="2" t="s">
        <v>261</v>
      </c>
      <c r="F55" s="2" t="s">
        <v>262</v>
      </c>
      <c r="G55" s="2" t="s">
        <v>31</v>
      </c>
      <c r="H55" s="2" t="s">
        <v>31</v>
      </c>
      <c r="I55" s="2" t="s">
        <v>32</v>
      </c>
      <c r="J55" s="3">
        <v>45496</v>
      </c>
      <c r="K55" s="2" t="s">
        <v>32</v>
      </c>
      <c r="L55" s="3">
        <v>45496</v>
      </c>
      <c r="M55" s="4">
        <v>2500.6129999999998</v>
      </c>
      <c r="N55" s="4">
        <v>2934.614</v>
      </c>
      <c r="O55" s="4">
        <v>25.21</v>
      </c>
      <c r="P55" s="4">
        <v>342.63</v>
      </c>
      <c r="Q55" s="4">
        <v>23.984100000000002</v>
      </c>
      <c r="R55" s="2" t="s">
        <v>263</v>
      </c>
      <c r="S55" s="2" t="s">
        <v>263</v>
      </c>
      <c r="T55" s="4">
        <v>0</v>
      </c>
      <c r="U55" s="2" t="s">
        <v>64</v>
      </c>
      <c r="V55" s="5">
        <v>0</v>
      </c>
      <c r="W55" s="5" t="b">
        <f>TRUE()</f>
        <v>1</v>
      </c>
      <c r="X55" s="5" t="b">
        <f>FALSE()</f>
        <v>0</v>
      </c>
      <c r="Y55" s="5">
        <v>18</v>
      </c>
      <c r="Z55" s="5" t="b">
        <f>TRUE()</f>
        <v>1</v>
      </c>
      <c r="AA55" s="5" t="b">
        <f>FALSE()</f>
        <v>0</v>
      </c>
    </row>
    <row r="56" spans="1:27" x14ac:dyDescent="0.35">
      <c r="A56" s="2" t="s">
        <v>264</v>
      </c>
      <c r="B56" s="2" t="s">
        <v>265</v>
      </c>
      <c r="C56" s="2" t="s">
        <v>266</v>
      </c>
      <c r="D56" s="2" t="s">
        <v>37</v>
      </c>
      <c r="E56" s="2" t="s">
        <v>265</v>
      </c>
      <c r="F56" s="2" t="s">
        <v>266</v>
      </c>
      <c r="G56" s="2" t="s">
        <v>31</v>
      </c>
      <c r="H56" s="2" t="s">
        <v>31</v>
      </c>
      <c r="I56" s="2" t="s">
        <v>32</v>
      </c>
      <c r="J56" s="3">
        <v>45496</v>
      </c>
      <c r="K56" s="2" t="s">
        <v>32</v>
      </c>
      <c r="L56" s="3">
        <v>45496</v>
      </c>
      <c r="M56" s="4">
        <v>1707.665</v>
      </c>
      <c r="N56" s="4">
        <v>2004.1759999999999</v>
      </c>
      <c r="O56" s="4">
        <v>25.21</v>
      </c>
      <c r="P56" s="4">
        <v>232.875</v>
      </c>
      <c r="Q56" s="4">
        <v>16.30125</v>
      </c>
      <c r="R56" s="2" t="s">
        <v>267</v>
      </c>
      <c r="S56" s="2" t="s">
        <v>267</v>
      </c>
      <c r="T56" s="4">
        <v>0</v>
      </c>
      <c r="U56" s="2" t="s">
        <v>37</v>
      </c>
      <c r="V56" s="5">
        <v>0</v>
      </c>
      <c r="W56" s="5" t="b">
        <f>TRUE()</f>
        <v>1</v>
      </c>
      <c r="X56" s="5" t="b">
        <f>FALSE()</f>
        <v>0</v>
      </c>
      <c r="Y56" s="5">
        <v>18</v>
      </c>
      <c r="Z56" s="5" t="b">
        <f>TRUE()</f>
        <v>1</v>
      </c>
      <c r="AA56" s="5" t="b">
        <f>FALSE()</f>
        <v>0</v>
      </c>
    </row>
    <row r="57" spans="1:27" x14ac:dyDescent="0.35">
      <c r="A57" s="2" t="s">
        <v>268</v>
      </c>
      <c r="B57" s="2" t="s">
        <v>269</v>
      </c>
      <c r="C57" s="2" t="s">
        <v>270</v>
      </c>
      <c r="D57" s="2" t="s">
        <v>37</v>
      </c>
      <c r="E57" s="2" t="s">
        <v>269</v>
      </c>
      <c r="F57" s="2" t="s">
        <v>270</v>
      </c>
      <c r="G57" s="2" t="s">
        <v>31</v>
      </c>
      <c r="H57" s="2" t="s">
        <v>31</v>
      </c>
      <c r="I57" s="2" t="s">
        <v>32</v>
      </c>
      <c r="J57" s="3">
        <v>45492</v>
      </c>
      <c r="K57" s="2" t="s">
        <v>32</v>
      </c>
      <c r="L57" s="3">
        <v>45492</v>
      </c>
      <c r="M57" s="4">
        <v>910.81600000000003</v>
      </c>
      <c r="N57" s="4">
        <v>1069.162</v>
      </c>
      <c r="O57" s="4">
        <v>25.21</v>
      </c>
      <c r="P57" s="4">
        <v>122.580135</v>
      </c>
      <c r="Q57" s="4">
        <v>8.5806094500000007</v>
      </c>
      <c r="R57" s="2" t="s">
        <v>271</v>
      </c>
      <c r="S57" s="2" t="s">
        <v>271</v>
      </c>
      <c r="T57" s="4">
        <v>0</v>
      </c>
      <c r="U57" s="2" t="s">
        <v>37</v>
      </c>
      <c r="V57" s="5">
        <v>0</v>
      </c>
      <c r="W57" s="5" t="b">
        <f>TRUE()</f>
        <v>1</v>
      </c>
      <c r="X57" s="5" t="b">
        <f>FALSE()</f>
        <v>0</v>
      </c>
      <c r="Y57" s="5">
        <v>18</v>
      </c>
      <c r="Z57" s="5" t="b">
        <f>TRUE()</f>
        <v>1</v>
      </c>
      <c r="AA57" s="5" t="b">
        <f>FALSE()</f>
        <v>0</v>
      </c>
    </row>
    <row r="58" spans="1:27" x14ac:dyDescent="0.35">
      <c r="A58" s="2" t="s">
        <v>272</v>
      </c>
      <c r="B58" s="2" t="s">
        <v>273</v>
      </c>
      <c r="C58" s="2" t="s">
        <v>274</v>
      </c>
      <c r="D58" s="2" t="s">
        <v>99</v>
      </c>
      <c r="E58" s="2" t="s">
        <v>273</v>
      </c>
      <c r="F58" s="2" t="s">
        <v>274</v>
      </c>
      <c r="G58" s="2" t="s">
        <v>31</v>
      </c>
      <c r="H58" s="2" t="s">
        <v>31</v>
      </c>
      <c r="I58" s="2" t="s">
        <v>32</v>
      </c>
      <c r="J58" s="3">
        <v>45492</v>
      </c>
      <c r="K58" s="2" t="s">
        <v>32</v>
      </c>
      <c r="L58" s="3">
        <v>45492</v>
      </c>
      <c r="M58" s="4">
        <v>2902.25</v>
      </c>
      <c r="N58" s="4">
        <v>3412.87</v>
      </c>
      <c r="O58" s="4">
        <v>25.21</v>
      </c>
      <c r="P58" s="4">
        <v>340.065</v>
      </c>
      <c r="Q58" s="4">
        <v>23.804549999999999</v>
      </c>
      <c r="R58" s="2" t="s">
        <v>275</v>
      </c>
      <c r="S58" s="2" t="s">
        <v>275</v>
      </c>
      <c r="T58" s="4">
        <v>0</v>
      </c>
      <c r="U58" s="2" t="s">
        <v>99</v>
      </c>
      <c r="V58" s="5">
        <v>0</v>
      </c>
      <c r="W58" s="5" t="b">
        <f>TRUE()</f>
        <v>1</v>
      </c>
      <c r="X58" s="5" t="b">
        <f>FALSE()</f>
        <v>0</v>
      </c>
      <c r="Y58" s="5">
        <v>18</v>
      </c>
      <c r="Z58" s="5" t="b">
        <f>TRUE()</f>
        <v>1</v>
      </c>
      <c r="AA58" s="5" t="b">
        <f>FALSE()</f>
        <v>0</v>
      </c>
    </row>
    <row r="59" spans="1:27" x14ac:dyDescent="0.35">
      <c r="A59" s="2" t="s">
        <v>276</v>
      </c>
      <c r="B59" s="2" t="s">
        <v>277</v>
      </c>
      <c r="C59" s="2" t="s">
        <v>278</v>
      </c>
      <c r="D59" s="2" t="s">
        <v>218</v>
      </c>
      <c r="E59" s="2" t="s">
        <v>277</v>
      </c>
      <c r="F59" s="2" t="s">
        <v>278</v>
      </c>
      <c r="G59" s="2" t="s">
        <v>31</v>
      </c>
      <c r="H59" s="2" t="s">
        <v>31</v>
      </c>
      <c r="I59" s="2" t="s">
        <v>32</v>
      </c>
      <c r="J59" s="3">
        <v>45490</v>
      </c>
      <c r="K59" s="2" t="s">
        <v>32</v>
      </c>
      <c r="L59" s="3">
        <v>45490</v>
      </c>
      <c r="M59" s="4">
        <v>1605.8510000000001</v>
      </c>
      <c r="N59" s="4">
        <v>1892.614</v>
      </c>
      <c r="O59" s="4">
        <v>25.21</v>
      </c>
      <c r="P59" s="4">
        <v>152.91</v>
      </c>
      <c r="Q59" s="4">
        <v>10.7037</v>
      </c>
      <c r="R59" s="2" t="s">
        <v>279</v>
      </c>
      <c r="S59" s="2" t="s">
        <v>279</v>
      </c>
      <c r="T59" s="4">
        <v>0</v>
      </c>
      <c r="U59" s="2" t="s">
        <v>218</v>
      </c>
      <c r="V59" s="5">
        <v>0</v>
      </c>
      <c r="W59" s="5" t="b">
        <f>TRUE()</f>
        <v>1</v>
      </c>
      <c r="X59" s="5" t="b">
        <f>FALSE()</f>
        <v>0</v>
      </c>
      <c r="Y59" s="5">
        <v>12</v>
      </c>
      <c r="Z59" s="5" t="b">
        <f>TRUE()</f>
        <v>1</v>
      </c>
      <c r="AA59" s="5" t="b">
        <f>FALSE()</f>
        <v>0</v>
      </c>
    </row>
    <row r="60" spans="1:27" x14ac:dyDescent="0.35">
      <c r="A60" s="2" t="s">
        <v>280</v>
      </c>
      <c r="B60" s="2" t="s">
        <v>281</v>
      </c>
      <c r="C60" s="2" t="s">
        <v>282</v>
      </c>
      <c r="D60" s="2" t="s">
        <v>129</v>
      </c>
      <c r="E60" s="2" t="s">
        <v>281</v>
      </c>
      <c r="F60" s="2" t="s">
        <v>282</v>
      </c>
      <c r="G60" s="2" t="s">
        <v>31</v>
      </c>
      <c r="H60" s="2" t="s">
        <v>31</v>
      </c>
      <c r="I60" s="2" t="s">
        <v>32</v>
      </c>
      <c r="J60" s="3">
        <v>45483</v>
      </c>
      <c r="K60" s="2" t="s">
        <v>32</v>
      </c>
      <c r="L60" s="3">
        <v>45483</v>
      </c>
      <c r="M60" s="4">
        <v>2797.5720000000001</v>
      </c>
      <c r="N60" s="4">
        <v>3302.78</v>
      </c>
      <c r="O60" s="4">
        <v>25.21</v>
      </c>
      <c r="P60" s="4">
        <v>219.42008999999999</v>
      </c>
      <c r="Q60" s="4">
        <v>15.3594063</v>
      </c>
      <c r="R60" s="2" t="s">
        <v>283</v>
      </c>
      <c r="S60" s="2" t="s">
        <v>283</v>
      </c>
      <c r="T60" s="4">
        <v>0</v>
      </c>
      <c r="U60" s="2" t="s">
        <v>129</v>
      </c>
      <c r="V60" s="5">
        <v>0</v>
      </c>
      <c r="W60" s="5" t="b">
        <f>TRUE()</f>
        <v>1</v>
      </c>
      <c r="X60" s="5" t="b">
        <f>FALSE()</f>
        <v>0</v>
      </c>
      <c r="Y60" s="5">
        <v>12</v>
      </c>
      <c r="Z60" s="5" t="b">
        <f>TRUE()</f>
        <v>1</v>
      </c>
      <c r="AA60" s="5" t="b">
        <f>FALSE()</f>
        <v>0</v>
      </c>
    </row>
    <row r="61" spans="1:27" x14ac:dyDescent="0.35">
      <c r="A61" s="2" t="s">
        <v>284</v>
      </c>
      <c r="B61" s="2" t="s">
        <v>285</v>
      </c>
      <c r="C61" s="2" t="s">
        <v>286</v>
      </c>
      <c r="D61" s="2" t="s">
        <v>99</v>
      </c>
      <c r="E61" s="2" t="s">
        <v>285</v>
      </c>
      <c r="F61" s="2" t="s">
        <v>286</v>
      </c>
      <c r="G61" s="2" t="s">
        <v>31</v>
      </c>
      <c r="H61" s="2" t="s">
        <v>31</v>
      </c>
      <c r="I61" s="2" t="s">
        <v>32</v>
      </c>
      <c r="J61" s="3">
        <v>45483</v>
      </c>
      <c r="K61" s="2" t="s">
        <v>32</v>
      </c>
      <c r="L61" s="3">
        <v>45483</v>
      </c>
      <c r="M61" s="4">
        <v>2043.18</v>
      </c>
      <c r="N61" s="4">
        <v>2397.866</v>
      </c>
      <c r="O61" s="4">
        <v>25.21</v>
      </c>
      <c r="P61" s="4">
        <v>279.314865</v>
      </c>
      <c r="Q61" s="4">
        <v>19.552040550000001</v>
      </c>
      <c r="R61" s="2" t="s">
        <v>287</v>
      </c>
      <c r="S61" s="2" t="s">
        <v>287</v>
      </c>
      <c r="T61" s="4">
        <v>0</v>
      </c>
      <c r="U61" s="2" t="s">
        <v>99</v>
      </c>
      <c r="V61" s="5">
        <v>0</v>
      </c>
      <c r="W61" s="5" t="b">
        <f>TRUE()</f>
        <v>1</v>
      </c>
      <c r="X61" s="5" t="b">
        <f>FALSE()</f>
        <v>0</v>
      </c>
      <c r="Y61" s="5">
        <v>18</v>
      </c>
      <c r="Z61" s="5" t="b">
        <f>TRUE()</f>
        <v>1</v>
      </c>
      <c r="AA61" s="5" t="b">
        <f>FALSE()</f>
        <v>0</v>
      </c>
    </row>
    <row r="62" spans="1:27" x14ac:dyDescent="0.35">
      <c r="A62" s="2" t="s">
        <v>288</v>
      </c>
      <c r="B62" s="2" t="s">
        <v>289</v>
      </c>
      <c r="C62" s="2" t="s">
        <v>290</v>
      </c>
      <c r="D62" s="2" t="s">
        <v>37</v>
      </c>
      <c r="E62" s="2" t="s">
        <v>289</v>
      </c>
      <c r="F62" s="2" t="s">
        <v>290</v>
      </c>
      <c r="G62" s="2" t="s">
        <v>31</v>
      </c>
      <c r="H62" s="2" t="s">
        <v>31</v>
      </c>
      <c r="I62" s="2" t="s">
        <v>32</v>
      </c>
      <c r="J62" s="3">
        <v>45482</v>
      </c>
      <c r="K62" s="2" t="s">
        <v>32</v>
      </c>
      <c r="L62" s="3">
        <v>45482</v>
      </c>
      <c r="M62" s="4">
        <v>1359.47</v>
      </c>
      <c r="N62" s="4">
        <v>1595.6079999999999</v>
      </c>
      <c r="O62" s="4">
        <v>25.21</v>
      </c>
      <c r="P62" s="4">
        <v>184.68</v>
      </c>
      <c r="Q62" s="4">
        <v>12.9276</v>
      </c>
      <c r="R62" s="2" t="s">
        <v>291</v>
      </c>
      <c r="S62" s="2" t="s">
        <v>291</v>
      </c>
      <c r="T62" s="4">
        <v>0</v>
      </c>
      <c r="U62" s="2" t="s">
        <v>37</v>
      </c>
      <c r="V62" s="5">
        <v>0</v>
      </c>
      <c r="W62" s="5" t="b">
        <f>TRUE()</f>
        <v>1</v>
      </c>
      <c r="X62" s="5" t="b">
        <f>FALSE()</f>
        <v>0</v>
      </c>
      <c r="Y62" s="5">
        <v>18</v>
      </c>
      <c r="Z62" s="5" t="b">
        <f>TRUE()</f>
        <v>1</v>
      </c>
      <c r="AA62" s="5" t="b">
        <f>FALSE()</f>
        <v>0</v>
      </c>
    </row>
    <row r="63" spans="1:27" x14ac:dyDescent="0.35">
      <c r="A63" s="2" t="s">
        <v>292</v>
      </c>
      <c r="B63" s="2" t="s">
        <v>293</v>
      </c>
      <c r="C63" s="2" t="s">
        <v>294</v>
      </c>
      <c r="D63" s="2" t="s">
        <v>37</v>
      </c>
      <c r="E63" s="2" t="s">
        <v>293</v>
      </c>
      <c r="F63" s="2" t="s">
        <v>294</v>
      </c>
      <c r="G63" s="2" t="s">
        <v>31</v>
      </c>
      <c r="H63" s="2" t="s">
        <v>31</v>
      </c>
      <c r="I63" s="2" t="s">
        <v>32</v>
      </c>
      <c r="J63" s="3">
        <v>45478</v>
      </c>
      <c r="K63" s="2" t="s">
        <v>32</v>
      </c>
      <c r="L63" s="3">
        <v>45478</v>
      </c>
      <c r="M63" s="4">
        <v>1477.4860000000001</v>
      </c>
      <c r="N63" s="4">
        <v>1734.086</v>
      </c>
      <c r="O63" s="4">
        <v>25.21</v>
      </c>
      <c r="P63" s="4">
        <v>201.01513499999999</v>
      </c>
      <c r="Q63" s="4">
        <v>14.07105945</v>
      </c>
      <c r="R63" s="2" t="s">
        <v>295</v>
      </c>
      <c r="S63" s="2" t="s">
        <v>296</v>
      </c>
      <c r="T63" s="4">
        <v>0</v>
      </c>
      <c r="U63" s="2" t="s">
        <v>37</v>
      </c>
      <c r="V63" s="5">
        <v>0</v>
      </c>
      <c r="W63" s="5" t="b">
        <f>TRUE()</f>
        <v>1</v>
      </c>
      <c r="X63" s="5" t="b">
        <f>FALSE()</f>
        <v>0</v>
      </c>
      <c r="Y63" s="5">
        <v>18</v>
      </c>
      <c r="Z63" s="5" t="b">
        <f>TRUE()</f>
        <v>1</v>
      </c>
      <c r="AA63" s="5" t="b">
        <f>FALSE()</f>
        <v>0</v>
      </c>
    </row>
    <row r="64" spans="1:27" x14ac:dyDescent="0.35">
      <c r="A64" s="2" t="s">
        <v>297</v>
      </c>
      <c r="B64" s="2" t="s">
        <v>298</v>
      </c>
      <c r="C64" s="2" t="s">
        <v>299</v>
      </c>
      <c r="D64" s="2" t="s">
        <v>37</v>
      </c>
      <c r="E64" s="2" t="s">
        <v>298</v>
      </c>
      <c r="F64" s="2" t="s">
        <v>299</v>
      </c>
      <c r="G64" s="2" t="s">
        <v>31</v>
      </c>
      <c r="H64" s="2" t="s">
        <v>31</v>
      </c>
      <c r="I64" s="2" t="s">
        <v>32</v>
      </c>
      <c r="J64" s="3">
        <v>45468</v>
      </c>
      <c r="K64" s="2" t="s">
        <v>32</v>
      </c>
      <c r="L64" s="3">
        <v>45468</v>
      </c>
      <c r="M64" s="4">
        <v>706.97</v>
      </c>
      <c r="N64" s="4">
        <v>829.971</v>
      </c>
      <c r="O64" s="4">
        <v>25.21</v>
      </c>
      <c r="P64" s="4">
        <v>94.364999999999995</v>
      </c>
      <c r="Q64" s="4">
        <v>6.60555</v>
      </c>
      <c r="R64" s="2" t="s">
        <v>300</v>
      </c>
      <c r="S64" s="2" t="s">
        <v>300</v>
      </c>
      <c r="T64" s="4">
        <v>0</v>
      </c>
      <c r="U64" s="2" t="s">
        <v>37</v>
      </c>
      <c r="V64" s="5">
        <v>0</v>
      </c>
      <c r="W64" s="5" t="b">
        <f>TRUE()</f>
        <v>1</v>
      </c>
      <c r="X64" s="5" t="b">
        <f>FALSE()</f>
        <v>0</v>
      </c>
      <c r="Y64" s="5">
        <v>18</v>
      </c>
      <c r="Z64" s="5" t="b">
        <f>TRUE()</f>
        <v>1</v>
      </c>
      <c r="AA64" s="5" t="b">
        <f>FALSE()</f>
        <v>0</v>
      </c>
    </row>
    <row r="65" spans="1:27" x14ac:dyDescent="0.35">
      <c r="A65" s="2" t="s">
        <v>301</v>
      </c>
      <c r="B65" s="2" t="s">
        <v>302</v>
      </c>
      <c r="C65" s="2" t="s">
        <v>303</v>
      </c>
      <c r="D65" s="2" t="s">
        <v>37</v>
      </c>
      <c r="E65" s="2" t="s">
        <v>302</v>
      </c>
      <c r="F65" s="2" t="s">
        <v>303</v>
      </c>
      <c r="G65" s="2" t="s">
        <v>31</v>
      </c>
      <c r="H65" s="2" t="s">
        <v>31</v>
      </c>
      <c r="I65" s="2" t="s">
        <v>32</v>
      </c>
      <c r="J65" s="3">
        <v>45468</v>
      </c>
      <c r="K65" s="2" t="s">
        <v>32</v>
      </c>
      <c r="L65" s="3">
        <v>45468</v>
      </c>
      <c r="M65" s="4">
        <v>2486.9490000000001</v>
      </c>
      <c r="N65" s="4">
        <v>2918.5810000000001</v>
      </c>
      <c r="O65" s="4">
        <v>25.21</v>
      </c>
      <c r="P65" s="4">
        <v>340.73865000000001</v>
      </c>
      <c r="Q65" s="4">
        <v>23.851705500000001</v>
      </c>
      <c r="R65" s="2" t="s">
        <v>304</v>
      </c>
      <c r="S65" s="2" t="s">
        <v>304</v>
      </c>
      <c r="T65" s="4">
        <v>0</v>
      </c>
      <c r="U65" s="2" t="s">
        <v>37</v>
      </c>
      <c r="V65" s="5">
        <v>0</v>
      </c>
      <c r="W65" s="5" t="b">
        <f>TRUE()</f>
        <v>1</v>
      </c>
      <c r="X65" s="5" t="b">
        <f>FALSE()</f>
        <v>0</v>
      </c>
      <c r="Y65" s="5">
        <v>18</v>
      </c>
      <c r="Z65" s="5" t="b">
        <f>TRUE()</f>
        <v>1</v>
      </c>
      <c r="AA65" s="5" t="b">
        <f>FALSE()</f>
        <v>0</v>
      </c>
    </row>
    <row r="66" spans="1:27" x14ac:dyDescent="0.35">
      <c r="A66" s="2" t="s">
        <v>305</v>
      </c>
      <c r="B66" s="2" t="s">
        <v>306</v>
      </c>
      <c r="C66" s="2" t="s">
        <v>307</v>
      </c>
      <c r="D66" s="2" t="s">
        <v>37</v>
      </c>
      <c r="E66" s="2" t="s">
        <v>306</v>
      </c>
      <c r="F66" s="2" t="s">
        <v>307</v>
      </c>
      <c r="G66" s="2" t="s">
        <v>31</v>
      </c>
      <c r="H66" s="2" t="s">
        <v>31</v>
      </c>
      <c r="I66" s="2" t="s">
        <v>32</v>
      </c>
      <c r="J66" s="3">
        <v>45468</v>
      </c>
      <c r="K66" s="2" t="s">
        <v>32</v>
      </c>
      <c r="L66" s="3">
        <v>45468</v>
      </c>
      <c r="M66" s="4">
        <v>2072.4409999999998</v>
      </c>
      <c r="N66" s="4">
        <v>2432.201</v>
      </c>
      <c r="O66" s="4">
        <v>25.21</v>
      </c>
      <c r="P66" s="4">
        <v>283.36513500000001</v>
      </c>
      <c r="Q66" s="4">
        <v>19.835559450000002</v>
      </c>
      <c r="R66" s="2" t="s">
        <v>308</v>
      </c>
      <c r="S66" s="2" t="s">
        <v>308</v>
      </c>
      <c r="T66" s="4">
        <v>0</v>
      </c>
      <c r="U66" s="2" t="s">
        <v>37</v>
      </c>
      <c r="V66" s="5">
        <v>0</v>
      </c>
      <c r="W66" s="5" t="b">
        <f>TRUE()</f>
        <v>1</v>
      </c>
      <c r="X66" s="5" t="b">
        <f>FALSE()</f>
        <v>0</v>
      </c>
      <c r="Y66" s="5">
        <v>18</v>
      </c>
      <c r="Z66" s="5" t="b">
        <f>TRUE()</f>
        <v>1</v>
      </c>
      <c r="AA66" s="5" t="b">
        <f>FALSE()</f>
        <v>0</v>
      </c>
    </row>
    <row r="67" spans="1:27" x14ac:dyDescent="0.35">
      <c r="A67" s="2" t="s">
        <v>309</v>
      </c>
      <c r="B67" s="2" t="s">
        <v>310</v>
      </c>
      <c r="C67" s="2" t="s">
        <v>311</v>
      </c>
      <c r="D67" s="2" t="s">
        <v>171</v>
      </c>
      <c r="E67" s="2" t="s">
        <v>310</v>
      </c>
      <c r="F67" s="2" t="s">
        <v>311</v>
      </c>
      <c r="G67" s="2" t="s">
        <v>31</v>
      </c>
      <c r="H67" s="2" t="s">
        <v>31</v>
      </c>
      <c r="I67" s="2" t="s">
        <v>32</v>
      </c>
      <c r="J67" s="3">
        <v>45466</v>
      </c>
      <c r="K67" s="2" t="s">
        <v>32</v>
      </c>
      <c r="L67" s="3">
        <v>45466</v>
      </c>
      <c r="M67" s="4">
        <v>1977.9860000000001</v>
      </c>
      <c r="N67" s="4">
        <v>2331.134</v>
      </c>
      <c r="O67" s="4">
        <v>25.21</v>
      </c>
      <c r="P67" s="4">
        <v>188.91009</v>
      </c>
      <c r="Q67" s="4">
        <v>13.2237063</v>
      </c>
      <c r="R67" s="2" t="s">
        <v>312</v>
      </c>
      <c r="S67" s="2" t="s">
        <v>312</v>
      </c>
      <c r="T67" s="4">
        <v>0</v>
      </c>
      <c r="U67" s="2" t="s">
        <v>171</v>
      </c>
      <c r="V67" s="5">
        <v>0</v>
      </c>
      <c r="W67" s="5" t="b">
        <f>TRUE()</f>
        <v>1</v>
      </c>
      <c r="X67" s="5" t="b">
        <f>FALSE()</f>
        <v>0</v>
      </c>
      <c r="Y67" s="5">
        <v>12</v>
      </c>
      <c r="Z67" s="5" t="b">
        <f>TRUE()</f>
        <v>1</v>
      </c>
      <c r="AA67" s="5" t="b">
        <f>FALSE()</f>
        <v>0</v>
      </c>
    </row>
    <row r="68" spans="1:27" x14ac:dyDescent="0.35">
      <c r="A68" s="2" t="s">
        <v>313</v>
      </c>
      <c r="B68" s="2" t="s">
        <v>314</v>
      </c>
      <c r="C68" s="2" t="s">
        <v>315</v>
      </c>
      <c r="D68" s="2" t="s">
        <v>37</v>
      </c>
      <c r="E68" s="2" t="s">
        <v>314</v>
      </c>
      <c r="F68" s="2" t="s">
        <v>315</v>
      </c>
      <c r="G68" s="2" t="s">
        <v>31</v>
      </c>
      <c r="H68" s="2" t="s">
        <v>31</v>
      </c>
      <c r="I68" s="2" t="s">
        <v>32</v>
      </c>
      <c r="J68" s="3">
        <v>45463</v>
      </c>
      <c r="K68" s="2" t="s">
        <v>32</v>
      </c>
      <c r="L68" s="3">
        <v>45463</v>
      </c>
      <c r="M68" s="4">
        <v>2072.4409999999998</v>
      </c>
      <c r="N68" s="4">
        <v>2432.201</v>
      </c>
      <c r="O68" s="4">
        <v>25.21</v>
      </c>
      <c r="P68" s="4">
        <v>283.36513500000001</v>
      </c>
      <c r="Q68" s="4">
        <v>19.835559450000002</v>
      </c>
      <c r="R68" s="2" t="s">
        <v>316</v>
      </c>
      <c r="S68" s="2" t="s">
        <v>316</v>
      </c>
      <c r="T68" s="4">
        <v>0</v>
      </c>
      <c r="U68" s="2" t="s">
        <v>37</v>
      </c>
      <c r="V68" s="5">
        <v>0</v>
      </c>
      <c r="W68" s="5" t="b">
        <f>TRUE()</f>
        <v>1</v>
      </c>
      <c r="X68" s="5" t="b">
        <f>FALSE()</f>
        <v>0</v>
      </c>
      <c r="Y68" s="5">
        <v>18</v>
      </c>
      <c r="Z68" s="5" t="b">
        <f>TRUE()</f>
        <v>1</v>
      </c>
      <c r="AA68" s="5" t="b">
        <f>FALSE()</f>
        <v>0</v>
      </c>
    </row>
    <row r="69" spans="1:27" x14ac:dyDescent="0.35">
      <c r="A69" s="2" t="s">
        <v>317</v>
      </c>
      <c r="B69" s="2" t="s">
        <v>318</v>
      </c>
      <c r="C69" s="2" t="s">
        <v>319</v>
      </c>
      <c r="D69" s="2" t="s">
        <v>320</v>
      </c>
      <c r="E69" s="2" t="s">
        <v>318</v>
      </c>
      <c r="F69" s="2" t="s">
        <v>319</v>
      </c>
      <c r="G69" s="2" t="s">
        <v>31</v>
      </c>
      <c r="H69" s="2" t="s">
        <v>31</v>
      </c>
      <c r="I69" s="2" t="s">
        <v>32</v>
      </c>
      <c r="J69" s="3">
        <v>45457</v>
      </c>
      <c r="K69" s="2" t="s">
        <v>32</v>
      </c>
      <c r="L69" s="3">
        <v>45457</v>
      </c>
      <c r="M69" s="4">
        <v>1476.51</v>
      </c>
      <c r="N69" s="4">
        <v>1732.942</v>
      </c>
      <c r="O69" s="4">
        <v>25.21</v>
      </c>
      <c r="P69" s="4">
        <v>200.88</v>
      </c>
      <c r="Q69" s="4">
        <v>14.0616</v>
      </c>
      <c r="R69" s="2" t="s">
        <v>321</v>
      </c>
      <c r="S69" s="2" t="s">
        <v>321</v>
      </c>
      <c r="T69" s="4">
        <v>0</v>
      </c>
      <c r="U69" s="2" t="s">
        <v>320</v>
      </c>
      <c r="V69" s="5">
        <v>0</v>
      </c>
      <c r="W69" s="5" t="b">
        <f>TRUE()</f>
        <v>1</v>
      </c>
      <c r="X69" s="5" t="b">
        <f>FALSE()</f>
        <v>0</v>
      </c>
      <c r="Y69" s="5">
        <v>18</v>
      </c>
      <c r="Z69" s="5" t="b">
        <f>TRUE()</f>
        <v>1</v>
      </c>
      <c r="AA69" s="5" t="b">
        <f>FALSE()</f>
        <v>0</v>
      </c>
    </row>
    <row r="70" spans="1:27" x14ac:dyDescent="0.35">
      <c r="A70" s="2" t="s">
        <v>322</v>
      </c>
      <c r="B70" s="2" t="s">
        <v>323</v>
      </c>
      <c r="C70" s="2" t="s">
        <v>324</v>
      </c>
      <c r="D70" s="2" t="s">
        <v>99</v>
      </c>
      <c r="E70" s="2" t="s">
        <v>323</v>
      </c>
      <c r="F70" s="2" t="s">
        <v>324</v>
      </c>
      <c r="G70" s="2" t="s">
        <v>31</v>
      </c>
      <c r="H70" s="2" t="s">
        <v>31</v>
      </c>
      <c r="I70" s="2" t="s">
        <v>32</v>
      </c>
      <c r="J70" s="3">
        <v>45456</v>
      </c>
      <c r="K70" s="2" t="s">
        <v>32</v>
      </c>
      <c r="L70" s="3">
        <v>45456</v>
      </c>
      <c r="M70" s="4">
        <v>2853.3919999999998</v>
      </c>
      <c r="N70" s="4">
        <v>3368.558</v>
      </c>
      <c r="O70" s="4">
        <v>25.21</v>
      </c>
      <c r="P70" s="4">
        <v>224.82008999999999</v>
      </c>
      <c r="Q70" s="4">
        <v>15.7374063</v>
      </c>
      <c r="R70" s="2" t="s">
        <v>325</v>
      </c>
      <c r="S70" s="2" t="s">
        <v>325</v>
      </c>
      <c r="T70" s="4">
        <v>0</v>
      </c>
      <c r="U70" s="2" t="s">
        <v>99</v>
      </c>
      <c r="V70" s="5">
        <v>0</v>
      </c>
      <c r="W70" s="5" t="b">
        <f>TRUE()</f>
        <v>1</v>
      </c>
      <c r="X70" s="5" t="b">
        <f>FALSE()</f>
        <v>0</v>
      </c>
      <c r="Y70" s="5">
        <v>12</v>
      </c>
      <c r="Z70" s="5" t="b">
        <f>TRUE()</f>
        <v>1</v>
      </c>
      <c r="AA70" s="5" t="b">
        <f>FALSE()</f>
        <v>0</v>
      </c>
    </row>
    <row r="71" spans="1:27" x14ac:dyDescent="0.35">
      <c r="A71" s="2" t="s">
        <v>326</v>
      </c>
      <c r="B71" s="2" t="s">
        <v>327</v>
      </c>
      <c r="C71" s="2" t="s">
        <v>328</v>
      </c>
      <c r="D71" s="2" t="s">
        <v>244</v>
      </c>
      <c r="E71" s="2" t="s">
        <v>327</v>
      </c>
      <c r="F71" s="2" t="s">
        <v>328</v>
      </c>
      <c r="G71" s="2" t="s">
        <v>31</v>
      </c>
      <c r="H71" s="2" t="s">
        <v>31</v>
      </c>
      <c r="I71" s="2" t="s">
        <v>32</v>
      </c>
      <c r="J71" s="3">
        <v>45454</v>
      </c>
      <c r="K71" s="2" t="s">
        <v>32</v>
      </c>
      <c r="L71" s="3">
        <v>45454</v>
      </c>
      <c r="M71" s="4">
        <v>2646.913</v>
      </c>
      <c r="N71" s="4">
        <v>3106.2809999999999</v>
      </c>
      <c r="O71" s="4">
        <v>25.21</v>
      </c>
      <c r="P71" s="4">
        <v>362.879865</v>
      </c>
      <c r="Q71" s="4">
        <v>25.401590550000002</v>
      </c>
      <c r="R71" s="2" t="s">
        <v>329</v>
      </c>
      <c r="S71" s="2" t="s">
        <v>329</v>
      </c>
      <c r="T71" s="4">
        <v>0</v>
      </c>
      <c r="U71" s="2" t="s">
        <v>244</v>
      </c>
      <c r="V71" s="5">
        <v>0</v>
      </c>
      <c r="W71" s="5" t="b">
        <f>TRUE()</f>
        <v>1</v>
      </c>
      <c r="X71" s="5" t="b">
        <f>FALSE()</f>
        <v>0</v>
      </c>
      <c r="Y71" s="5">
        <v>18</v>
      </c>
      <c r="Z71" s="5" t="b">
        <f>TRUE()</f>
        <v>1</v>
      </c>
      <c r="AA71" s="5" t="b">
        <f>FALSE()</f>
        <v>0</v>
      </c>
    </row>
    <row r="72" spans="1:27" x14ac:dyDescent="0.35">
      <c r="A72" s="2" t="s">
        <v>330</v>
      </c>
      <c r="B72" s="2" t="s">
        <v>331</v>
      </c>
      <c r="C72" s="2" t="s">
        <v>332</v>
      </c>
      <c r="D72" s="2" t="s">
        <v>37</v>
      </c>
      <c r="E72" s="2" t="s">
        <v>331</v>
      </c>
      <c r="F72" s="2" t="s">
        <v>332</v>
      </c>
      <c r="G72" s="2" t="s">
        <v>31</v>
      </c>
      <c r="H72" s="2" t="s">
        <v>31</v>
      </c>
      <c r="I72" s="2" t="s">
        <v>32</v>
      </c>
      <c r="J72" s="3">
        <v>45454</v>
      </c>
      <c r="K72" s="2" t="s">
        <v>32</v>
      </c>
      <c r="L72" s="3">
        <v>45454</v>
      </c>
      <c r="M72" s="4">
        <v>973.22199999999998</v>
      </c>
      <c r="N72" s="4">
        <v>1147.1289999999999</v>
      </c>
      <c r="O72" s="4">
        <v>25.21</v>
      </c>
      <c r="P72" s="4">
        <v>91.709909999999994</v>
      </c>
      <c r="Q72" s="4">
        <v>6.4196936999999998</v>
      </c>
      <c r="R72" s="2" t="s">
        <v>333</v>
      </c>
      <c r="S72" s="2" t="s">
        <v>333</v>
      </c>
      <c r="T72" s="4">
        <v>0</v>
      </c>
      <c r="U72" s="2" t="s">
        <v>37</v>
      </c>
      <c r="V72" s="5">
        <v>0</v>
      </c>
      <c r="W72" s="5" t="b">
        <f>TRUE()</f>
        <v>1</v>
      </c>
      <c r="X72" s="5" t="b">
        <f>FALSE()</f>
        <v>0</v>
      </c>
      <c r="Y72" s="5">
        <v>12</v>
      </c>
      <c r="Z72" s="5" t="b">
        <f>TRUE()</f>
        <v>1</v>
      </c>
      <c r="AA72" s="5" t="b">
        <f>FALSE()</f>
        <v>0</v>
      </c>
    </row>
    <row r="73" spans="1:27" x14ac:dyDescent="0.35">
      <c r="A73" s="2" t="s">
        <v>334</v>
      </c>
      <c r="B73" s="2" t="s">
        <v>335</v>
      </c>
      <c r="C73" s="2" t="s">
        <v>336</v>
      </c>
      <c r="D73" s="2" t="s">
        <v>37</v>
      </c>
      <c r="E73" s="2" t="s">
        <v>335</v>
      </c>
      <c r="F73" s="2" t="s">
        <v>336</v>
      </c>
      <c r="G73" s="2" t="s">
        <v>31</v>
      </c>
      <c r="H73" s="2" t="s">
        <v>31</v>
      </c>
      <c r="I73" s="2" t="s">
        <v>32</v>
      </c>
      <c r="J73" s="3">
        <v>45453</v>
      </c>
      <c r="K73" s="2" t="s">
        <v>32</v>
      </c>
      <c r="L73" s="3">
        <v>45453</v>
      </c>
      <c r="M73" s="4">
        <v>2072.4409999999998</v>
      </c>
      <c r="N73" s="4">
        <v>2432.201</v>
      </c>
      <c r="O73" s="4">
        <v>25.21</v>
      </c>
      <c r="P73" s="4">
        <v>283.36513500000001</v>
      </c>
      <c r="Q73" s="4">
        <v>19.835559450000002</v>
      </c>
      <c r="R73" s="2" t="s">
        <v>337</v>
      </c>
      <c r="S73" s="2" t="s">
        <v>337</v>
      </c>
      <c r="T73" s="4">
        <v>0</v>
      </c>
      <c r="U73" s="2" t="s">
        <v>37</v>
      </c>
      <c r="V73" s="5">
        <v>0</v>
      </c>
      <c r="W73" s="5" t="b">
        <f>TRUE()</f>
        <v>1</v>
      </c>
      <c r="X73" s="5" t="b">
        <f>FALSE()</f>
        <v>0</v>
      </c>
      <c r="Y73" s="5">
        <v>18</v>
      </c>
      <c r="Z73" s="5" t="b">
        <f>TRUE()</f>
        <v>1</v>
      </c>
      <c r="AA73" s="5" t="b">
        <f>FALSE()</f>
        <v>0</v>
      </c>
    </row>
    <row r="74" spans="1:27" x14ac:dyDescent="0.35">
      <c r="A74" s="2" t="s">
        <v>338</v>
      </c>
      <c r="B74" s="2" t="s">
        <v>339</v>
      </c>
      <c r="C74" s="2" t="s">
        <v>340</v>
      </c>
      <c r="D74" s="2" t="s">
        <v>37</v>
      </c>
      <c r="E74" s="2" t="s">
        <v>339</v>
      </c>
      <c r="F74" s="2" t="s">
        <v>340</v>
      </c>
      <c r="G74" s="2" t="s">
        <v>31</v>
      </c>
      <c r="H74" s="2" t="s">
        <v>31</v>
      </c>
      <c r="I74" s="2" t="s">
        <v>32</v>
      </c>
      <c r="J74" s="3">
        <v>45448</v>
      </c>
      <c r="K74" s="2" t="s">
        <v>32</v>
      </c>
      <c r="L74" s="3">
        <v>45448</v>
      </c>
      <c r="M74" s="4">
        <v>451.57299999999998</v>
      </c>
      <c r="N74" s="4">
        <v>533.17899999999997</v>
      </c>
      <c r="O74" s="4">
        <v>25.21</v>
      </c>
      <c r="P74" s="4">
        <v>34.934925</v>
      </c>
      <c r="Q74" s="4">
        <v>2.4454447500000001</v>
      </c>
      <c r="R74" s="2" t="s">
        <v>341</v>
      </c>
      <c r="S74" s="2" t="s">
        <v>341</v>
      </c>
      <c r="T74" s="4">
        <v>0</v>
      </c>
      <c r="U74" s="2" t="s">
        <v>37</v>
      </c>
      <c r="V74" s="5">
        <v>0</v>
      </c>
      <c r="W74" s="5" t="b">
        <f>TRUE()</f>
        <v>1</v>
      </c>
      <c r="X74" s="5" t="b">
        <f>FALSE()</f>
        <v>0</v>
      </c>
      <c r="Y74" s="5">
        <v>10</v>
      </c>
      <c r="Z74" s="5" t="b">
        <f>TRUE()</f>
        <v>1</v>
      </c>
      <c r="AA74" s="5" t="b">
        <f>FALSE()</f>
        <v>0</v>
      </c>
    </row>
    <row r="75" spans="1:27" x14ac:dyDescent="0.35">
      <c r="A75" s="2" t="s">
        <v>342</v>
      </c>
      <c r="B75" s="2" t="s">
        <v>343</v>
      </c>
      <c r="C75" s="2" t="s">
        <v>344</v>
      </c>
      <c r="D75" s="2" t="s">
        <v>37</v>
      </c>
      <c r="E75" s="2" t="s">
        <v>343</v>
      </c>
      <c r="F75" s="2" t="s">
        <v>344</v>
      </c>
      <c r="G75" s="2" t="s">
        <v>31</v>
      </c>
      <c r="H75" s="2" t="s">
        <v>31</v>
      </c>
      <c r="I75" s="2" t="s">
        <v>32</v>
      </c>
      <c r="J75" s="3">
        <v>45442</v>
      </c>
      <c r="K75" s="2" t="s">
        <v>32</v>
      </c>
      <c r="L75" s="3">
        <v>45442</v>
      </c>
      <c r="M75" s="4">
        <v>1292.172</v>
      </c>
      <c r="N75" s="4">
        <v>1516.6410000000001</v>
      </c>
      <c r="O75" s="4">
        <v>25.21</v>
      </c>
      <c r="P75" s="4">
        <v>175.36500000000001</v>
      </c>
      <c r="Q75" s="4">
        <v>12.275550000000001</v>
      </c>
      <c r="R75" s="2" t="s">
        <v>345</v>
      </c>
      <c r="S75" s="2" t="s">
        <v>345</v>
      </c>
      <c r="T75" s="4">
        <v>0</v>
      </c>
      <c r="U75" s="2" t="s">
        <v>37</v>
      </c>
      <c r="V75" s="5">
        <v>0</v>
      </c>
      <c r="W75" s="5" t="b">
        <f>TRUE()</f>
        <v>1</v>
      </c>
      <c r="X75" s="5" t="b">
        <f>FALSE()</f>
        <v>0</v>
      </c>
      <c r="Y75" s="5">
        <v>18</v>
      </c>
      <c r="Z75" s="5" t="b">
        <f>TRUE()</f>
        <v>1</v>
      </c>
      <c r="AA75" s="5" t="b">
        <f>FALSE()</f>
        <v>0</v>
      </c>
    </row>
    <row r="76" spans="1:27" x14ac:dyDescent="0.35">
      <c r="A76" s="2" t="s">
        <v>346</v>
      </c>
      <c r="B76" s="2" t="s">
        <v>347</v>
      </c>
      <c r="C76" s="2" t="s">
        <v>348</v>
      </c>
      <c r="D76" s="2" t="s">
        <v>205</v>
      </c>
      <c r="E76" s="2" t="s">
        <v>347</v>
      </c>
      <c r="F76" s="2" t="s">
        <v>348</v>
      </c>
      <c r="G76" s="2" t="s">
        <v>31</v>
      </c>
      <c r="H76" s="2" t="s">
        <v>31</v>
      </c>
      <c r="I76" s="2" t="s">
        <v>32</v>
      </c>
      <c r="J76" s="3">
        <v>45441</v>
      </c>
      <c r="K76" s="2" t="s">
        <v>32</v>
      </c>
      <c r="L76" s="3">
        <v>45441</v>
      </c>
      <c r="M76" s="4">
        <v>2373.81</v>
      </c>
      <c r="N76" s="4">
        <v>2785.8249999999998</v>
      </c>
      <c r="O76" s="4">
        <v>25.21</v>
      </c>
      <c r="P76" s="4">
        <v>325.07864999999998</v>
      </c>
      <c r="Q76" s="4">
        <v>22.755505500000002</v>
      </c>
      <c r="R76" s="2" t="s">
        <v>349</v>
      </c>
      <c r="S76" s="2" t="s">
        <v>349</v>
      </c>
      <c r="T76" s="4">
        <v>0</v>
      </c>
      <c r="U76" s="2" t="s">
        <v>205</v>
      </c>
      <c r="V76" s="5">
        <v>0</v>
      </c>
      <c r="W76" s="5" t="b">
        <f>TRUE()</f>
        <v>1</v>
      </c>
      <c r="X76" s="5" t="b">
        <f>FALSE()</f>
        <v>0</v>
      </c>
      <c r="Y76" s="5">
        <v>18</v>
      </c>
      <c r="Z76" s="5" t="b">
        <f>TRUE()</f>
        <v>1</v>
      </c>
      <c r="AA76" s="5" t="b">
        <f>FALSE()</f>
        <v>0</v>
      </c>
    </row>
    <row r="77" spans="1:27" x14ac:dyDescent="0.35">
      <c r="A77" s="2" t="s">
        <v>350</v>
      </c>
      <c r="B77" s="2" t="s">
        <v>351</v>
      </c>
      <c r="C77" s="2" t="s">
        <v>352</v>
      </c>
      <c r="D77" s="2" t="s">
        <v>353</v>
      </c>
      <c r="E77" s="2" t="s">
        <v>351</v>
      </c>
      <c r="F77" s="2" t="s">
        <v>352</v>
      </c>
      <c r="G77" s="2" t="s">
        <v>31</v>
      </c>
      <c r="H77" s="2" t="s">
        <v>31</v>
      </c>
      <c r="I77" s="2" t="s">
        <v>32</v>
      </c>
      <c r="J77" s="3">
        <v>45436</v>
      </c>
      <c r="K77" s="2" t="s">
        <v>32</v>
      </c>
      <c r="L77" s="3">
        <v>45436</v>
      </c>
      <c r="M77" s="4">
        <v>1358.4939999999999</v>
      </c>
      <c r="N77" s="4">
        <v>1594.462</v>
      </c>
      <c r="O77" s="4">
        <v>25.21</v>
      </c>
      <c r="P77" s="4">
        <v>184.54486499999999</v>
      </c>
      <c r="Q77" s="4">
        <v>12.91814055</v>
      </c>
      <c r="R77" s="2" t="s">
        <v>354</v>
      </c>
      <c r="S77" s="2" t="s">
        <v>354</v>
      </c>
      <c r="T77" s="4">
        <v>0</v>
      </c>
      <c r="U77" s="2" t="s">
        <v>353</v>
      </c>
      <c r="V77" s="5">
        <v>0</v>
      </c>
      <c r="W77" s="5" t="b">
        <f>TRUE()</f>
        <v>1</v>
      </c>
      <c r="X77" s="5" t="b">
        <f>FALSE()</f>
        <v>0</v>
      </c>
      <c r="Y77" s="5">
        <v>18</v>
      </c>
      <c r="Z77" s="5" t="b">
        <f>TRUE()</f>
        <v>1</v>
      </c>
      <c r="AA77" s="5" t="b">
        <f>FALSE()</f>
        <v>0</v>
      </c>
    </row>
    <row r="78" spans="1:27" x14ac:dyDescent="0.35">
      <c r="A78" s="2" t="s">
        <v>355</v>
      </c>
      <c r="B78" s="2" t="s">
        <v>356</v>
      </c>
      <c r="C78" s="2" t="s">
        <v>357</v>
      </c>
      <c r="D78" s="2" t="s">
        <v>358</v>
      </c>
      <c r="E78" s="2" t="s">
        <v>356</v>
      </c>
      <c r="F78" s="2" t="s">
        <v>357</v>
      </c>
      <c r="G78" s="2" t="s">
        <v>31</v>
      </c>
      <c r="H78" s="2" t="s">
        <v>31</v>
      </c>
      <c r="I78" s="2" t="s">
        <v>32</v>
      </c>
      <c r="J78" s="3">
        <v>45433</v>
      </c>
      <c r="K78" s="2" t="s">
        <v>32</v>
      </c>
      <c r="L78" s="3">
        <v>45433</v>
      </c>
      <c r="M78" s="4">
        <v>1417.99</v>
      </c>
      <c r="N78" s="4">
        <v>1664.2750000000001</v>
      </c>
      <c r="O78" s="4">
        <v>25.21</v>
      </c>
      <c r="P78" s="4">
        <v>192.78</v>
      </c>
      <c r="Q78" s="4">
        <v>13.4946</v>
      </c>
      <c r="R78" s="2" t="s">
        <v>359</v>
      </c>
      <c r="S78" s="2" t="s">
        <v>359</v>
      </c>
      <c r="T78" s="4">
        <v>0</v>
      </c>
      <c r="U78" s="2" t="s">
        <v>358</v>
      </c>
      <c r="V78" s="5">
        <v>0</v>
      </c>
      <c r="W78" s="5" t="b">
        <f>TRUE()</f>
        <v>1</v>
      </c>
      <c r="X78" s="5" t="b">
        <f>FALSE()</f>
        <v>0</v>
      </c>
      <c r="Y78" s="5">
        <v>18</v>
      </c>
      <c r="Z78" s="5" t="b">
        <f>TRUE()</f>
        <v>1</v>
      </c>
      <c r="AA78" s="5" t="b">
        <f>FALSE()</f>
        <v>0</v>
      </c>
    </row>
    <row r="79" spans="1:27" x14ac:dyDescent="0.35">
      <c r="A79" s="2" t="s">
        <v>360</v>
      </c>
      <c r="B79" s="2" t="s">
        <v>361</v>
      </c>
      <c r="C79" s="2" t="s">
        <v>362</v>
      </c>
      <c r="D79" s="2" t="s">
        <v>363</v>
      </c>
      <c r="E79" s="2" t="s">
        <v>361</v>
      </c>
      <c r="F79" s="2" t="s">
        <v>362</v>
      </c>
      <c r="G79" s="2" t="s">
        <v>31</v>
      </c>
      <c r="H79" s="2" t="s">
        <v>31</v>
      </c>
      <c r="I79" s="2" t="s">
        <v>32</v>
      </c>
      <c r="J79" s="3">
        <v>45428</v>
      </c>
      <c r="K79" s="2" t="s">
        <v>32</v>
      </c>
      <c r="L79" s="3">
        <v>45428</v>
      </c>
      <c r="M79" s="4">
        <v>2023.674</v>
      </c>
      <c r="N79" s="4">
        <v>2374.9780000000001</v>
      </c>
      <c r="O79" s="4">
        <v>25.21</v>
      </c>
      <c r="P79" s="4">
        <v>276.61500000000001</v>
      </c>
      <c r="Q79" s="4">
        <v>19.363050000000001</v>
      </c>
      <c r="R79" s="2" t="s">
        <v>364</v>
      </c>
      <c r="S79" s="2" t="s">
        <v>364</v>
      </c>
      <c r="T79" s="4">
        <v>0</v>
      </c>
      <c r="U79" s="2" t="s">
        <v>363</v>
      </c>
      <c r="V79" s="5">
        <v>0</v>
      </c>
      <c r="W79" s="5" t="b">
        <f>TRUE()</f>
        <v>1</v>
      </c>
      <c r="X79" s="5" t="b">
        <f>FALSE()</f>
        <v>0</v>
      </c>
      <c r="Y79" s="5">
        <v>18</v>
      </c>
      <c r="Z79" s="5" t="b">
        <f>TRUE()</f>
        <v>1</v>
      </c>
      <c r="AA79" s="5" t="b">
        <f>FALSE()</f>
        <v>0</v>
      </c>
    </row>
    <row r="80" spans="1:27" x14ac:dyDescent="0.35">
      <c r="A80" s="2" t="s">
        <v>365</v>
      </c>
      <c r="B80" s="2" t="s">
        <v>366</v>
      </c>
      <c r="C80" s="2" t="s">
        <v>367</v>
      </c>
      <c r="D80" s="2" t="s">
        <v>37</v>
      </c>
      <c r="E80" s="2" t="s">
        <v>366</v>
      </c>
      <c r="F80" s="2" t="s">
        <v>367</v>
      </c>
      <c r="G80" s="2" t="s">
        <v>31</v>
      </c>
      <c r="H80" s="2" t="s">
        <v>65</v>
      </c>
      <c r="I80" s="2" t="s">
        <v>32</v>
      </c>
      <c r="J80" s="3">
        <v>45427</v>
      </c>
      <c r="K80" s="2" t="s">
        <v>32</v>
      </c>
      <c r="L80" s="3">
        <v>45427</v>
      </c>
      <c r="M80" s="4">
        <v>770.40899999999999</v>
      </c>
      <c r="N80" s="4">
        <v>908.13599999999997</v>
      </c>
      <c r="O80" s="4">
        <v>25.21</v>
      </c>
      <c r="P80" s="4">
        <v>72.09</v>
      </c>
      <c r="Q80" s="4">
        <v>5.0462999999999996</v>
      </c>
      <c r="R80" s="2" t="s">
        <v>368</v>
      </c>
      <c r="S80" s="2" t="s">
        <v>368</v>
      </c>
      <c r="T80" s="4">
        <v>0</v>
      </c>
      <c r="U80" s="2" t="s">
        <v>37</v>
      </c>
      <c r="V80" s="5">
        <v>0</v>
      </c>
      <c r="W80" s="5" t="b">
        <f>TRUE()</f>
        <v>1</v>
      </c>
      <c r="X80" s="5" t="b">
        <f>FALSE()</f>
        <v>0</v>
      </c>
      <c r="Y80" s="5">
        <v>12</v>
      </c>
      <c r="Z80" s="5" t="b">
        <f>TRUE()</f>
        <v>1</v>
      </c>
      <c r="AA80" s="5" t="b">
        <f>FALSE()</f>
        <v>0</v>
      </c>
    </row>
    <row r="81" spans="1:27" x14ac:dyDescent="0.35">
      <c r="A81" s="2" t="s">
        <v>369</v>
      </c>
      <c r="B81" s="2" t="s">
        <v>370</v>
      </c>
      <c r="C81" s="2" t="s">
        <v>371</v>
      </c>
      <c r="D81" s="2" t="s">
        <v>37</v>
      </c>
      <c r="E81" s="2" t="s">
        <v>370</v>
      </c>
      <c r="F81" s="2" t="s">
        <v>371</v>
      </c>
      <c r="G81" s="2" t="s">
        <v>31</v>
      </c>
      <c r="H81" s="2" t="s">
        <v>31</v>
      </c>
      <c r="I81" s="2" t="s">
        <v>32</v>
      </c>
      <c r="J81" s="3">
        <v>45427</v>
      </c>
      <c r="K81" s="2" t="s">
        <v>32</v>
      </c>
      <c r="L81" s="3">
        <v>45427</v>
      </c>
      <c r="M81" s="4">
        <v>2305.5459999999998</v>
      </c>
      <c r="N81" s="4">
        <v>2705.7240000000002</v>
      </c>
      <c r="O81" s="4">
        <v>25.21</v>
      </c>
      <c r="P81" s="4">
        <v>315.63</v>
      </c>
      <c r="Q81" s="4">
        <v>22.094100000000001</v>
      </c>
      <c r="R81" s="2" t="s">
        <v>372</v>
      </c>
      <c r="S81" s="2" t="s">
        <v>372</v>
      </c>
      <c r="T81" s="4">
        <v>0</v>
      </c>
      <c r="U81" s="2" t="s">
        <v>37</v>
      </c>
      <c r="V81" s="5">
        <v>0</v>
      </c>
      <c r="W81" s="5" t="b">
        <f>TRUE()</f>
        <v>1</v>
      </c>
      <c r="X81" s="5" t="b">
        <f>FALSE()</f>
        <v>0</v>
      </c>
      <c r="Y81" s="5">
        <v>18</v>
      </c>
      <c r="Z81" s="5" t="b">
        <f>TRUE()</f>
        <v>1</v>
      </c>
      <c r="AA81" s="5" t="b">
        <f>FALSE()</f>
        <v>0</v>
      </c>
    </row>
    <row r="82" spans="1:27" x14ac:dyDescent="0.35">
      <c r="A82" s="2" t="s">
        <v>373</v>
      </c>
      <c r="B82" s="2" t="s">
        <v>374</v>
      </c>
      <c r="C82" s="2" t="s">
        <v>375</v>
      </c>
      <c r="D82" s="2" t="s">
        <v>363</v>
      </c>
      <c r="E82" s="2" t="s">
        <v>374</v>
      </c>
      <c r="F82" s="2" t="s">
        <v>375</v>
      </c>
      <c r="G82" s="2" t="s">
        <v>31</v>
      </c>
      <c r="H82" s="2" t="s">
        <v>31</v>
      </c>
      <c r="I82" s="2" t="s">
        <v>32</v>
      </c>
      <c r="J82" s="3">
        <v>45426</v>
      </c>
      <c r="K82" s="2" t="s">
        <v>32</v>
      </c>
      <c r="L82" s="3">
        <v>45426</v>
      </c>
      <c r="M82" s="4">
        <v>1140.683</v>
      </c>
      <c r="N82" s="4">
        <v>1344.4639999999999</v>
      </c>
      <c r="O82" s="4">
        <v>25.21</v>
      </c>
      <c r="P82" s="4">
        <v>107.91</v>
      </c>
      <c r="Q82" s="4">
        <v>7.5537000000000001</v>
      </c>
      <c r="R82" s="2" t="s">
        <v>376</v>
      </c>
      <c r="S82" s="2" t="s">
        <v>376</v>
      </c>
      <c r="T82" s="4">
        <v>0</v>
      </c>
      <c r="U82" s="2" t="s">
        <v>363</v>
      </c>
      <c r="V82" s="5">
        <v>0</v>
      </c>
      <c r="W82" s="5" t="b">
        <f>TRUE()</f>
        <v>1</v>
      </c>
      <c r="X82" s="5" t="b">
        <f>FALSE()</f>
        <v>0</v>
      </c>
      <c r="Y82" s="5">
        <v>12</v>
      </c>
      <c r="Z82" s="5" t="b">
        <f>TRUE()</f>
        <v>1</v>
      </c>
      <c r="AA82" s="5" t="b">
        <f>FALSE()</f>
        <v>0</v>
      </c>
    </row>
    <row r="83" spans="1:27" x14ac:dyDescent="0.35">
      <c r="A83" s="2" t="s">
        <v>377</v>
      </c>
      <c r="B83" s="2" t="s">
        <v>378</v>
      </c>
      <c r="C83" s="2" t="s">
        <v>379</v>
      </c>
      <c r="D83" s="2" t="s">
        <v>37</v>
      </c>
      <c r="E83" s="2" t="s">
        <v>378</v>
      </c>
      <c r="F83" s="2" t="s">
        <v>379</v>
      </c>
      <c r="G83" s="2" t="s">
        <v>31</v>
      </c>
      <c r="H83" s="2" t="s">
        <v>31</v>
      </c>
      <c r="I83" s="2" t="s">
        <v>32</v>
      </c>
      <c r="J83" s="3">
        <v>45422</v>
      </c>
      <c r="K83" s="2" t="s">
        <v>32</v>
      </c>
      <c r="L83" s="3">
        <v>45422</v>
      </c>
      <c r="M83" s="4">
        <v>1330.21</v>
      </c>
      <c r="N83" s="4">
        <v>1561.2739999999999</v>
      </c>
      <c r="O83" s="4">
        <v>25.21</v>
      </c>
      <c r="P83" s="4">
        <v>180.63</v>
      </c>
      <c r="Q83" s="4">
        <v>12.6441</v>
      </c>
      <c r="R83" s="2" t="s">
        <v>380</v>
      </c>
      <c r="S83" s="2" t="s">
        <v>380</v>
      </c>
      <c r="T83" s="4">
        <v>0</v>
      </c>
      <c r="U83" s="2" t="s">
        <v>37</v>
      </c>
      <c r="V83" s="5">
        <v>0</v>
      </c>
      <c r="W83" s="5" t="b">
        <f>TRUE()</f>
        <v>1</v>
      </c>
      <c r="X83" s="5" t="b">
        <f>FALSE()</f>
        <v>0</v>
      </c>
      <c r="Y83" s="5">
        <v>18</v>
      </c>
      <c r="Z83" s="5" t="b">
        <f>TRUE()</f>
        <v>1</v>
      </c>
      <c r="AA83" s="5" t="b">
        <f>FALSE()</f>
        <v>0</v>
      </c>
    </row>
    <row r="84" spans="1:27" x14ac:dyDescent="0.35">
      <c r="A84" s="2" t="s">
        <v>381</v>
      </c>
      <c r="B84" s="2" t="s">
        <v>382</v>
      </c>
      <c r="C84" s="2" t="s">
        <v>383</v>
      </c>
      <c r="D84" s="2" t="s">
        <v>37</v>
      </c>
      <c r="E84" s="2" t="s">
        <v>382</v>
      </c>
      <c r="F84" s="2" t="s">
        <v>383</v>
      </c>
      <c r="G84" s="2" t="s">
        <v>31</v>
      </c>
      <c r="H84" s="2" t="s">
        <v>31</v>
      </c>
      <c r="I84" s="2" t="s">
        <v>32</v>
      </c>
      <c r="J84" s="3">
        <v>45421</v>
      </c>
      <c r="K84" s="2" t="s">
        <v>32</v>
      </c>
      <c r="L84" s="3">
        <v>45421</v>
      </c>
      <c r="M84" s="4">
        <v>1320.4570000000001</v>
      </c>
      <c r="N84" s="4">
        <v>1549.8309999999999</v>
      </c>
      <c r="O84" s="4">
        <v>25.21</v>
      </c>
      <c r="P84" s="4">
        <v>179.280135</v>
      </c>
      <c r="Q84" s="4">
        <v>12.54960945</v>
      </c>
      <c r="R84" s="2" t="s">
        <v>384</v>
      </c>
      <c r="S84" s="2" t="s">
        <v>384</v>
      </c>
      <c r="T84" s="4">
        <v>0</v>
      </c>
      <c r="U84" s="2" t="s">
        <v>37</v>
      </c>
      <c r="V84" s="5">
        <v>0</v>
      </c>
      <c r="W84" s="5" t="b">
        <f>TRUE()</f>
        <v>1</v>
      </c>
      <c r="X84" s="5" t="b">
        <f>FALSE()</f>
        <v>0</v>
      </c>
      <c r="Y84" s="5">
        <v>18</v>
      </c>
      <c r="Z84" s="5" t="b">
        <f>TRUE()</f>
        <v>1</v>
      </c>
      <c r="AA84" s="5" t="b">
        <f>FALSE()</f>
        <v>0</v>
      </c>
    </row>
    <row r="85" spans="1:27" x14ac:dyDescent="0.35">
      <c r="A85" s="2" t="s">
        <v>385</v>
      </c>
      <c r="B85" s="2" t="s">
        <v>386</v>
      </c>
      <c r="C85" s="2" t="s">
        <v>387</v>
      </c>
      <c r="D85" s="2" t="s">
        <v>37</v>
      </c>
      <c r="E85" s="2" t="s">
        <v>386</v>
      </c>
      <c r="F85" s="2" t="s">
        <v>387</v>
      </c>
      <c r="G85" s="2" t="s">
        <v>31</v>
      </c>
      <c r="H85" s="2" t="s">
        <v>31</v>
      </c>
      <c r="I85" s="2" t="s">
        <v>32</v>
      </c>
      <c r="J85" s="3">
        <v>45421</v>
      </c>
      <c r="K85" s="2" t="s">
        <v>32</v>
      </c>
      <c r="L85" s="3">
        <v>45421</v>
      </c>
      <c r="M85" s="4">
        <v>1437.4970000000001</v>
      </c>
      <c r="N85" s="4">
        <v>1687.164</v>
      </c>
      <c r="O85" s="4">
        <v>25.21</v>
      </c>
      <c r="P85" s="4">
        <v>195.48</v>
      </c>
      <c r="Q85" s="4">
        <v>13.6836</v>
      </c>
      <c r="R85" s="2" t="s">
        <v>388</v>
      </c>
      <c r="S85" s="2" t="s">
        <v>388</v>
      </c>
      <c r="T85" s="4">
        <v>0</v>
      </c>
      <c r="U85" s="2" t="s">
        <v>37</v>
      </c>
      <c r="V85" s="5">
        <v>0</v>
      </c>
      <c r="W85" s="5" t="b">
        <f>TRUE()</f>
        <v>1</v>
      </c>
      <c r="X85" s="5" t="b">
        <f>FALSE()</f>
        <v>0</v>
      </c>
      <c r="Y85" s="5">
        <v>18</v>
      </c>
      <c r="Z85" s="5" t="b">
        <f>TRUE()</f>
        <v>1</v>
      </c>
      <c r="AA85" s="5" t="b">
        <f>FALSE()</f>
        <v>0</v>
      </c>
    </row>
    <row r="86" spans="1:27" x14ac:dyDescent="0.35">
      <c r="A86" s="2" t="s">
        <v>389</v>
      </c>
      <c r="B86" s="2" t="s">
        <v>390</v>
      </c>
      <c r="C86" s="2" t="s">
        <v>391</v>
      </c>
      <c r="D86" s="2" t="s">
        <v>78</v>
      </c>
      <c r="E86" s="2" t="s">
        <v>390</v>
      </c>
      <c r="F86" s="2" t="s">
        <v>391</v>
      </c>
      <c r="G86" s="2" t="s">
        <v>31</v>
      </c>
      <c r="H86" s="2" t="s">
        <v>31</v>
      </c>
      <c r="I86" s="2" t="s">
        <v>32</v>
      </c>
      <c r="J86" s="3">
        <v>45420</v>
      </c>
      <c r="K86" s="2" t="s">
        <v>32</v>
      </c>
      <c r="L86" s="3">
        <v>45420</v>
      </c>
      <c r="M86" s="4">
        <v>815.06500000000005</v>
      </c>
      <c r="N86" s="4">
        <v>960.75800000000004</v>
      </c>
      <c r="O86" s="4">
        <v>25.21</v>
      </c>
      <c r="P86" s="4">
        <v>76.41</v>
      </c>
      <c r="Q86" s="4">
        <v>5.3487</v>
      </c>
      <c r="R86" s="2" t="s">
        <v>392</v>
      </c>
      <c r="S86" s="2" t="s">
        <v>392</v>
      </c>
      <c r="T86" s="4">
        <v>0</v>
      </c>
      <c r="U86" s="2" t="s">
        <v>78</v>
      </c>
      <c r="V86" s="5">
        <v>0</v>
      </c>
      <c r="W86" s="5" t="b">
        <f>TRUE()</f>
        <v>1</v>
      </c>
      <c r="X86" s="5" t="b">
        <f>FALSE()</f>
        <v>0</v>
      </c>
      <c r="Y86" s="5">
        <v>12</v>
      </c>
      <c r="Z86" s="5" t="b">
        <f>TRUE()</f>
        <v>1</v>
      </c>
      <c r="AA86" s="5" t="b">
        <f>FALSE()</f>
        <v>0</v>
      </c>
    </row>
    <row r="87" spans="1:27" x14ac:dyDescent="0.35">
      <c r="A87" s="2" t="s">
        <v>393</v>
      </c>
      <c r="B87" s="2" t="s">
        <v>394</v>
      </c>
      <c r="C87" s="2" t="s">
        <v>395</v>
      </c>
      <c r="D87" s="2" t="s">
        <v>37</v>
      </c>
      <c r="E87" s="2" t="s">
        <v>394</v>
      </c>
      <c r="F87" s="2" t="s">
        <v>395</v>
      </c>
      <c r="G87" s="2" t="s">
        <v>31</v>
      </c>
      <c r="H87" s="2" t="s">
        <v>31</v>
      </c>
      <c r="I87" s="2" t="s">
        <v>32</v>
      </c>
      <c r="J87" s="3">
        <v>45418</v>
      </c>
      <c r="K87" s="2" t="s">
        <v>32</v>
      </c>
      <c r="L87" s="3">
        <v>45418</v>
      </c>
      <c r="M87" s="4">
        <v>1950.4269999999999</v>
      </c>
      <c r="N87" s="4">
        <v>2289.0309999999999</v>
      </c>
      <c r="O87" s="4">
        <v>25.21</v>
      </c>
      <c r="P87" s="4">
        <v>266.47663499999999</v>
      </c>
      <c r="Q87" s="4">
        <v>18.653364450000002</v>
      </c>
      <c r="R87" s="2" t="s">
        <v>396</v>
      </c>
      <c r="S87" s="2" t="s">
        <v>396</v>
      </c>
      <c r="T87" s="4">
        <v>0</v>
      </c>
      <c r="U87" s="2" t="s">
        <v>37</v>
      </c>
      <c r="V87" s="5">
        <v>0</v>
      </c>
      <c r="W87" s="5" t="b">
        <f>TRUE()</f>
        <v>1</v>
      </c>
      <c r="X87" s="5" t="b">
        <f>FALSE()</f>
        <v>0</v>
      </c>
      <c r="Y87" s="5">
        <v>18</v>
      </c>
      <c r="Z87" s="5" t="b">
        <f>TRUE()</f>
        <v>1</v>
      </c>
      <c r="AA87" s="5" t="b">
        <f>FALSE()</f>
        <v>0</v>
      </c>
    </row>
    <row r="88" spans="1:27" x14ac:dyDescent="0.35">
      <c r="A88" s="2" t="s">
        <v>397</v>
      </c>
      <c r="B88" s="2" t="s">
        <v>398</v>
      </c>
      <c r="C88" s="2" t="s">
        <v>399</v>
      </c>
      <c r="D88" s="2" t="s">
        <v>37</v>
      </c>
      <c r="E88" s="2" t="s">
        <v>398</v>
      </c>
      <c r="F88" s="2" t="s">
        <v>399</v>
      </c>
      <c r="G88" s="2" t="s">
        <v>31</v>
      </c>
      <c r="H88" s="2" t="s">
        <v>65</v>
      </c>
      <c r="I88" s="2" t="s">
        <v>32</v>
      </c>
      <c r="J88" s="3">
        <v>45416</v>
      </c>
      <c r="K88" s="2" t="s">
        <v>32</v>
      </c>
      <c r="L88" s="3">
        <v>45416</v>
      </c>
      <c r="M88" s="4">
        <v>912.76599999999996</v>
      </c>
      <c r="N88" s="4">
        <v>1071.45</v>
      </c>
      <c r="O88" s="4">
        <v>25.21</v>
      </c>
      <c r="P88" s="4">
        <v>122.85</v>
      </c>
      <c r="Q88" s="4">
        <v>8.5995000000000008</v>
      </c>
      <c r="R88" s="2" t="s">
        <v>400</v>
      </c>
      <c r="S88" s="2" t="s">
        <v>400</v>
      </c>
      <c r="T88" s="4">
        <v>0</v>
      </c>
      <c r="U88" s="2" t="s">
        <v>37</v>
      </c>
      <c r="V88" s="5">
        <v>0</v>
      </c>
      <c r="W88" s="5" t="b">
        <f>TRUE()</f>
        <v>1</v>
      </c>
      <c r="X88" s="5" t="b">
        <f>FALSE()</f>
        <v>0</v>
      </c>
      <c r="Y88" s="5">
        <v>18</v>
      </c>
      <c r="Z88" s="5" t="b">
        <f>TRUE()</f>
        <v>1</v>
      </c>
      <c r="AA88" s="5" t="b">
        <f>FALSE()</f>
        <v>0</v>
      </c>
    </row>
    <row r="89" spans="1:27" x14ac:dyDescent="0.35">
      <c r="A89" s="2" t="s">
        <v>401</v>
      </c>
      <c r="B89" s="2" t="s">
        <v>402</v>
      </c>
      <c r="C89" s="2" t="s">
        <v>403</v>
      </c>
      <c r="D89" s="2" t="s">
        <v>404</v>
      </c>
      <c r="E89" s="2" t="s">
        <v>402</v>
      </c>
      <c r="F89" s="2" t="s">
        <v>403</v>
      </c>
      <c r="G89" s="2" t="s">
        <v>31</v>
      </c>
      <c r="H89" s="2" t="s">
        <v>31</v>
      </c>
      <c r="I89" s="2" t="s">
        <v>32</v>
      </c>
      <c r="J89" s="3">
        <v>45414</v>
      </c>
      <c r="K89" s="2" t="s">
        <v>32</v>
      </c>
      <c r="L89" s="3">
        <v>45414</v>
      </c>
      <c r="M89" s="4">
        <v>1758.383</v>
      </c>
      <c r="N89" s="4">
        <v>2063.6889999999999</v>
      </c>
      <c r="O89" s="4">
        <v>25.21</v>
      </c>
      <c r="P89" s="4">
        <v>239.89513500000001</v>
      </c>
      <c r="Q89" s="4">
        <v>16.792659449999999</v>
      </c>
      <c r="R89" s="2" t="s">
        <v>405</v>
      </c>
      <c r="S89" s="2" t="s">
        <v>405</v>
      </c>
      <c r="T89" s="4">
        <v>0</v>
      </c>
      <c r="U89" s="2" t="s">
        <v>404</v>
      </c>
      <c r="V89" s="5">
        <v>0</v>
      </c>
      <c r="W89" s="5" t="b">
        <f>TRUE()</f>
        <v>1</v>
      </c>
      <c r="X89" s="5" t="b">
        <f>FALSE()</f>
        <v>0</v>
      </c>
      <c r="Y89" s="5">
        <v>18</v>
      </c>
      <c r="Z89" s="5" t="b">
        <f>TRUE()</f>
        <v>1</v>
      </c>
      <c r="AA89" s="5" t="b">
        <f>FALSE()</f>
        <v>0</v>
      </c>
    </row>
    <row r="90" spans="1:27" x14ac:dyDescent="0.35">
      <c r="A90" s="2" t="s">
        <v>406</v>
      </c>
      <c r="B90" s="2" t="s">
        <v>152</v>
      </c>
      <c r="C90" s="2" t="s">
        <v>153</v>
      </c>
      <c r="D90" s="2" t="s">
        <v>154</v>
      </c>
      <c r="E90" s="2" t="s">
        <v>152</v>
      </c>
      <c r="F90" s="2" t="s">
        <v>153</v>
      </c>
      <c r="G90" s="2" t="s">
        <v>31</v>
      </c>
      <c r="H90" s="2" t="s">
        <v>31</v>
      </c>
      <c r="I90" s="2" t="s">
        <v>32</v>
      </c>
      <c r="J90" s="3">
        <v>45412</v>
      </c>
      <c r="K90" s="2" t="s">
        <v>32</v>
      </c>
      <c r="L90" s="3">
        <v>45412</v>
      </c>
      <c r="M90" s="4">
        <v>737.81500000000005</v>
      </c>
      <c r="N90" s="4">
        <v>878</v>
      </c>
      <c r="O90" s="4">
        <v>25.21</v>
      </c>
      <c r="P90" s="4">
        <v>0</v>
      </c>
      <c r="Q90" s="4">
        <v>0</v>
      </c>
      <c r="R90" s="2" t="s">
        <v>155</v>
      </c>
      <c r="S90" s="2" t="s">
        <v>155</v>
      </c>
      <c r="T90" s="4">
        <v>0</v>
      </c>
      <c r="U90" s="2" t="s">
        <v>154</v>
      </c>
      <c r="V90" s="5">
        <v>0</v>
      </c>
      <c r="W90" s="5" t="b">
        <f>TRUE()</f>
        <v>1</v>
      </c>
      <c r="X90" s="5" t="b">
        <f>FALSE()</f>
        <v>0</v>
      </c>
      <c r="Y90" s="5">
        <v>6</v>
      </c>
      <c r="Z90" s="5" t="b">
        <f>TRUE()</f>
        <v>1</v>
      </c>
      <c r="AA90" s="5" t="b">
        <f>FALSE()</f>
        <v>0</v>
      </c>
    </row>
    <row r="91" spans="1:27" x14ac:dyDescent="0.35">
      <c r="A91" s="2" t="s">
        <v>407</v>
      </c>
      <c r="B91" s="2" t="s">
        <v>408</v>
      </c>
      <c r="C91" s="2" t="s">
        <v>409</v>
      </c>
      <c r="D91" s="2" t="s">
        <v>154</v>
      </c>
      <c r="E91" s="2" t="s">
        <v>408</v>
      </c>
      <c r="F91" s="2" t="s">
        <v>409</v>
      </c>
      <c r="G91" s="2" t="s">
        <v>31</v>
      </c>
      <c r="H91" s="2" t="s">
        <v>31</v>
      </c>
      <c r="I91" s="2" t="s">
        <v>32</v>
      </c>
      <c r="J91" s="3">
        <v>45412</v>
      </c>
      <c r="K91" s="2" t="s">
        <v>32</v>
      </c>
      <c r="L91" s="3">
        <v>45412</v>
      </c>
      <c r="M91" s="4">
        <v>1067.8440000000001</v>
      </c>
      <c r="N91" s="4">
        <v>1253.4169999999999</v>
      </c>
      <c r="O91" s="4">
        <v>25.21</v>
      </c>
      <c r="P91" s="4">
        <v>144.315</v>
      </c>
      <c r="Q91" s="4">
        <v>10.10205</v>
      </c>
      <c r="R91" s="2" t="s">
        <v>410</v>
      </c>
      <c r="S91" s="2" t="s">
        <v>410</v>
      </c>
      <c r="T91" s="4">
        <v>0</v>
      </c>
      <c r="U91" s="2" t="s">
        <v>154</v>
      </c>
      <c r="V91" s="5">
        <v>0</v>
      </c>
      <c r="W91" s="5" t="b">
        <f>TRUE()</f>
        <v>1</v>
      </c>
      <c r="X91" s="5" t="b">
        <f>FALSE()</f>
        <v>0</v>
      </c>
      <c r="Y91" s="5">
        <v>18</v>
      </c>
      <c r="Z91" s="5" t="b">
        <f>TRUE()</f>
        <v>1</v>
      </c>
      <c r="AA91" s="5" t="b">
        <f>FALSE()</f>
        <v>0</v>
      </c>
    </row>
    <row r="92" spans="1:27" x14ac:dyDescent="0.35">
      <c r="A92" s="2" t="s">
        <v>411</v>
      </c>
      <c r="B92" s="2" t="s">
        <v>412</v>
      </c>
      <c r="C92" s="2" t="s">
        <v>413</v>
      </c>
      <c r="D92" s="2" t="s">
        <v>154</v>
      </c>
      <c r="E92" s="2" t="s">
        <v>412</v>
      </c>
      <c r="F92" s="2" t="s">
        <v>413</v>
      </c>
      <c r="G92" s="2" t="s">
        <v>31</v>
      </c>
      <c r="H92" s="2" t="s">
        <v>31</v>
      </c>
      <c r="I92" s="2" t="s">
        <v>32</v>
      </c>
      <c r="J92" s="3">
        <v>45406</v>
      </c>
      <c r="K92" s="2" t="s">
        <v>32</v>
      </c>
      <c r="L92" s="3">
        <v>45406</v>
      </c>
      <c r="M92" s="4">
        <v>1032.7729999999999</v>
      </c>
      <c r="N92" s="4">
        <v>1229</v>
      </c>
      <c r="O92" s="4">
        <v>25.21</v>
      </c>
      <c r="P92" s="4">
        <v>0</v>
      </c>
      <c r="Q92" s="4">
        <v>0</v>
      </c>
      <c r="R92" s="2" t="s">
        <v>414</v>
      </c>
      <c r="S92" s="2" t="s">
        <v>414</v>
      </c>
      <c r="T92" s="4">
        <v>0</v>
      </c>
      <c r="U92" s="2" t="s">
        <v>154</v>
      </c>
      <c r="V92" s="5">
        <v>0</v>
      </c>
      <c r="W92" s="5" t="b">
        <f>TRUE()</f>
        <v>1</v>
      </c>
      <c r="X92" s="5" t="b">
        <f>FALSE()</f>
        <v>0</v>
      </c>
      <c r="Y92" s="5">
        <v>6</v>
      </c>
      <c r="Z92" s="5" t="b">
        <f>TRUE()</f>
        <v>1</v>
      </c>
      <c r="AA92" s="5" t="b">
        <f>FALSE()</f>
        <v>0</v>
      </c>
    </row>
    <row r="93" spans="1:27" x14ac:dyDescent="0.35">
      <c r="A93" s="2" t="s">
        <v>415</v>
      </c>
      <c r="B93" s="2" t="s">
        <v>416</v>
      </c>
      <c r="C93" s="2" t="s">
        <v>417</v>
      </c>
      <c r="D93" s="2" t="s">
        <v>418</v>
      </c>
      <c r="E93" s="2" t="s">
        <v>416</v>
      </c>
      <c r="F93" s="2" t="s">
        <v>417</v>
      </c>
      <c r="G93" s="2" t="s">
        <v>31</v>
      </c>
      <c r="H93" s="2" t="s">
        <v>31</v>
      </c>
      <c r="I93" s="2" t="s">
        <v>32</v>
      </c>
      <c r="J93" s="3">
        <v>45406</v>
      </c>
      <c r="K93" s="2" t="s">
        <v>32</v>
      </c>
      <c r="L93" s="3">
        <v>45406</v>
      </c>
      <c r="M93" s="4">
        <v>1145.8710000000001</v>
      </c>
      <c r="N93" s="4">
        <v>1344.973</v>
      </c>
      <c r="O93" s="4">
        <v>25.21</v>
      </c>
      <c r="P93" s="4">
        <v>155.11500000000001</v>
      </c>
      <c r="Q93" s="4">
        <v>10.85805</v>
      </c>
      <c r="R93" s="2" t="s">
        <v>419</v>
      </c>
      <c r="S93" s="2" t="s">
        <v>419</v>
      </c>
      <c r="T93" s="4">
        <v>0</v>
      </c>
      <c r="U93" s="2" t="s">
        <v>418</v>
      </c>
      <c r="V93" s="5">
        <v>0</v>
      </c>
      <c r="W93" s="5" t="b">
        <f>TRUE()</f>
        <v>1</v>
      </c>
      <c r="X93" s="5" t="b">
        <f>FALSE()</f>
        <v>0</v>
      </c>
      <c r="Y93" s="5">
        <v>18</v>
      </c>
      <c r="Z93" s="5" t="b">
        <f>TRUE()</f>
        <v>1</v>
      </c>
      <c r="AA93" s="5" t="b">
        <f>FALSE()</f>
        <v>0</v>
      </c>
    </row>
    <row r="94" spans="1:27" x14ac:dyDescent="0.35">
      <c r="A94" s="2" t="s">
        <v>420</v>
      </c>
      <c r="B94" s="2" t="s">
        <v>421</v>
      </c>
      <c r="C94" s="2" t="s">
        <v>422</v>
      </c>
      <c r="D94" s="2" t="s">
        <v>78</v>
      </c>
      <c r="E94" s="2" t="s">
        <v>421</v>
      </c>
      <c r="F94" s="2" t="s">
        <v>422</v>
      </c>
      <c r="G94" s="2" t="s">
        <v>31</v>
      </c>
      <c r="H94" s="2" t="s">
        <v>31</v>
      </c>
      <c r="I94" s="2" t="s">
        <v>32</v>
      </c>
      <c r="J94" s="3">
        <v>45405</v>
      </c>
      <c r="K94" s="2" t="s">
        <v>32</v>
      </c>
      <c r="L94" s="3">
        <v>45405</v>
      </c>
      <c r="M94" s="4">
        <v>566.37800000000004</v>
      </c>
      <c r="N94" s="4">
        <v>673.99</v>
      </c>
      <c r="O94" s="4">
        <v>25.21</v>
      </c>
      <c r="P94" s="4">
        <v>0</v>
      </c>
      <c r="Q94" s="4">
        <v>0</v>
      </c>
      <c r="R94" s="2" t="s">
        <v>423</v>
      </c>
      <c r="S94" s="2" t="s">
        <v>423</v>
      </c>
      <c r="T94" s="4">
        <v>0</v>
      </c>
      <c r="U94" s="2" t="s">
        <v>78</v>
      </c>
      <c r="V94" s="5">
        <v>0</v>
      </c>
      <c r="W94" s="5" t="b">
        <f>TRUE()</f>
        <v>1</v>
      </c>
      <c r="X94" s="5" t="b">
        <f>FALSE()</f>
        <v>0</v>
      </c>
      <c r="Y94" s="5">
        <v>6</v>
      </c>
      <c r="Z94" s="5" t="b">
        <f>TRUE()</f>
        <v>1</v>
      </c>
      <c r="AA94" s="5" t="b">
        <f>FALSE()</f>
        <v>0</v>
      </c>
    </row>
    <row r="95" spans="1:27" x14ac:dyDescent="0.35">
      <c r="A95" s="2" t="s">
        <v>424</v>
      </c>
      <c r="B95" s="2" t="s">
        <v>425</v>
      </c>
      <c r="C95" s="2" t="s">
        <v>426</v>
      </c>
      <c r="D95" s="2" t="s">
        <v>363</v>
      </c>
      <c r="E95" s="2" t="s">
        <v>425</v>
      </c>
      <c r="F95" s="2" t="s">
        <v>426</v>
      </c>
      <c r="G95" s="2" t="s">
        <v>31</v>
      </c>
      <c r="H95" s="2" t="s">
        <v>31</v>
      </c>
      <c r="I95" s="2" t="s">
        <v>32</v>
      </c>
      <c r="J95" s="3">
        <v>45404</v>
      </c>
      <c r="K95" s="2" t="s">
        <v>32</v>
      </c>
      <c r="L95" s="3">
        <v>45404</v>
      </c>
      <c r="M95" s="4">
        <v>1886.1420000000001</v>
      </c>
      <c r="N95" s="4">
        <v>2213.6</v>
      </c>
      <c r="O95" s="4">
        <v>25.21</v>
      </c>
      <c r="P95" s="4">
        <v>257.57864999999998</v>
      </c>
      <c r="Q95" s="4">
        <v>18.0305055</v>
      </c>
      <c r="R95" s="2" t="s">
        <v>427</v>
      </c>
      <c r="S95" s="2" t="s">
        <v>427</v>
      </c>
      <c r="T95" s="4">
        <v>0</v>
      </c>
      <c r="U95" s="2" t="s">
        <v>363</v>
      </c>
      <c r="V95" s="5">
        <v>0</v>
      </c>
      <c r="W95" s="5" t="b">
        <f>TRUE()</f>
        <v>1</v>
      </c>
      <c r="X95" s="5" t="b">
        <f>FALSE()</f>
        <v>0</v>
      </c>
      <c r="Y95" s="5">
        <v>18</v>
      </c>
      <c r="Z95" s="5" t="b">
        <f>TRUE()</f>
        <v>1</v>
      </c>
      <c r="AA95" s="5" t="b">
        <f>FALSE()</f>
        <v>0</v>
      </c>
    </row>
    <row r="96" spans="1:27" x14ac:dyDescent="0.35">
      <c r="A96" s="2" t="s">
        <v>428</v>
      </c>
      <c r="B96" s="2" t="s">
        <v>429</v>
      </c>
      <c r="C96" s="2" t="s">
        <v>430</v>
      </c>
      <c r="D96" s="2" t="s">
        <v>205</v>
      </c>
      <c r="E96" s="2" t="s">
        <v>429</v>
      </c>
      <c r="F96" s="2" t="s">
        <v>430</v>
      </c>
      <c r="G96" s="2" t="s">
        <v>31</v>
      </c>
      <c r="H96" s="2" t="s">
        <v>31</v>
      </c>
      <c r="I96" s="2" t="s">
        <v>32</v>
      </c>
      <c r="J96" s="3">
        <v>45401</v>
      </c>
      <c r="K96" s="2" t="s">
        <v>32</v>
      </c>
      <c r="L96" s="3">
        <v>45401</v>
      </c>
      <c r="M96" s="4">
        <v>982.35299999999995</v>
      </c>
      <c r="N96" s="4">
        <v>1169</v>
      </c>
      <c r="O96" s="4">
        <v>25.21</v>
      </c>
      <c r="P96" s="4">
        <v>0</v>
      </c>
      <c r="Q96" s="4">
        <v>0</v>
      </c>
      <c r="R96" s="2" t="s">
        <v>431</v>
      </c>
      <c r="S96" s="2" t="s">
        <v>431</v>
      </c>
      <c r="T96" s="4">
        <v>0</v>
      </c>
      <c r="U96" s="2" t="s">
        <v>205</v>
      </c>
      <c r="V96" s="5">
        <v>0</v>
      </c>
      <c r="W96" s="5" t="b">
        <f>TRUE()</f>
        <v>1</v>
      </c>
      <c r="X96" s="5" t="b">
        <f>FALSE()</f>
        <v>0</v>
      </c>
      <c r="Y96" s="5">
        <v>6</v>
      </c>
      <c r="Z96" s="5" t="b">
        <f>TRUE()</f>
        <v>1</v>
      </c>
      <c r="AA96" s="5" t="b">
        <f>FALSE()</f>
        <v>0</v>
      </c>
    </row>
    <row r="97" spans="1:27" x14ac:dyDescent="0.35">
      <c r="A97" s="2" t="s">
        <v>432</v>
      </c>
      <c r="B97" s="2" t="s">
        <v>433</v>
      </c>
      <c r="C97" s="2" t="s">
        <v>434</v>
      </c>
      <c r="D97" s="2" t="s">
        <v>37</v>
      </c>
      <c r="E97" s="2" t="s">
        <v>433</v>
      </c>
      <c r="F97" s="2" t="s">
        <v>434</v>
      </c>
      <c r="G97" s="2" t="s">
        <v>31</v>
      </c>
      <c r="H97" s="2" t="s">
        <v>31</v>
      </c>
      <c r="I97" s="2" t="s">
        <v>32</v>
      </c>
      <c r="J97" s="3">
        <v>45399</v>
      </c>
      <c r="K97" s="2" t="s">
        <v>32</v>
      </c>
      <c r="L97" s="3">
        <v>45399</v>
      </c>
      <c r="M97" s="4">
        <v>1974.9069999999999</v>
      </c>
      <c r="N97" s="4">
        <v>2317.7559999999999</v>
      </c>
      <c r="O97" s="4">
        <v>25.21</v>
      </c>
      <c r="P97" s="4">
        <v>269.86500000000001</v>
      </c>
      <c r="Q97" s="4">
        <v>18.890550000000001</v>
      </c>
      <c r="R97" s="2" t="s">
        <v>435</v>
      </c>
      <c r="S97" s="2" t="s">
        <v>435</v>
      </c>
      <c r="T97" s="4">
        <v>0</v>
      </c>
      <c r="U97" s="2" t="s">
        <v>37</v>
      </c>
      <c r="V97" s="5">
        <v>0</v>
      </c>
      <c r="W97" s="5" t="b">
        <f>TRUE()</f>
        <v>1</v>
      </c>
      <c r="X97" s="5" t="b">
        <f>FALSE()</f>
        <v>0</v>
      </c>
      <c r="Y97" s="5">
        <v>18</v>
      </c>
      <c r="Z97" s="5" t="b">
        <f>TRUE()</f>
        <v>1</v>
      </c>
      <c r="AA97" s="5" t="b">
        <f>FALSE()</f>
        <v>0</v>
      </c>
    </row>
    <row r="98" spans="1:27" x14ac:dyDescent="0.35">
      <c r="A98" s="2" t="s">
        <v>436</v>
      </c>
      <c r="B98" s="2" t="s">
        <v>437</v>
      </c>
      <c r="C98" s="2" t="s">
        <v>438</v>
      </c>
      <c r="D98" s="2" t="s">
        <v>205</v>
      </c>
      <c r="E98" s="2" t="s">
        <v>437</v>
      </c>
      <c r="F98" s="2" t="s">
        <v>438</v>
      </c>
      <c r="G98" s="2" t="s">
        <v>31</v>
      </c>
      <c r="H98" s="2" t="s">
        <v>31</v>
      </c>
      <c r="I98" s="2" t="s">
        <v>32</v>
      </c>
      <c r="J98" s="3">
        <v>45387</v>
      </c>
      <c r="K98" s="2" t="s">
        <v>32</v>
      </c>
      <c r="L98" s="3">
        <v>45387</v>
      </c>
      <c r="M98" s="4">
        <v>1140.683</v>
      </c>
      <c r="N98" s="4">
        <v>1344.4639999999999</v>
      </c>
      <c r="O98" s="4">
        <v>25.21</v>
      </c>
      <c r="P98" s="4">
        <v>107.91</v>
      </c>
      <c r="Q98" s="4">
        <v>7.5537000000000001</v>
      </c>
      <c r="R98" s="2" t="s">
        <v>439</v>
      </c>
      <c r="S98" s="2" t="s">
        <v>439</v>
      </c>
      <c r="T98" s="4">
        <v>0</v>
      </c>
      <c r="U98" s="2" t="s">
        <v>205</v>
      </c>
      <c r="V98" s="5">
        <v>0</v>
      </c>
      <c r="W98" s="5" t="b">
        <f>TRUE()</f>
        <v>1</v>
      </c>
      <c r="X98" s="5" t="b">
        <f>FALSE()</f>
        <v>0</v>
      </c>
      <c r="Y98" s="5">
        <v>12</v>
      </c>
      <c r="Z98" s="5" t="b">
        <f>TRUE()</f>
        <v>1</v>
      </c>
      <c r="AA98" s="5" t="b">
        <f>FALSE()</f>
        <v>0</v>
      </c>
    </row>
    <row r="99" spans="1:27" x14ac:dyDescent="0.35">
      <c r="A99" s="2" t="s">
        <v>440</v>
      </c>
      <c r="B99" s="2" t="s">
        <v>441</v>
      </c>
      <c r="C99" s="2" t="s">
        <v>442</v>
      </c>
      <c r="D99" s="2" t="s">
        <v>37</v>
      </c>
      <c r="E99" s="2" t="s">
        <v>441</v>
      </c>
      <c r="F99" s="2" t="s">
        <v>442</v>
      </c>
      <c r="G99" s="2" t="s">
        <v>31</v>
      </c>
      <c r="H99" s="2" t="s">
        <v>31</v>
      </c>
      <c r="I99" s="2" t="s">
        <v>32</v>
      </c>
      <c r="J99" s="3">
        <v>45386</v>
      </c>
      <c r="K99" s="2" t="s">
        <v>32</v>
      </c>
      <c r="L99" s="3">
        <v>45386</v>
      </c>
      <c r="M99" s="4">
        <v>1057.9829999999999</v>
      </c>
      <c r="N99" s="4">
        <v>1259</v>
      </c>
      <c r="O99" s="4">
        <v>25.21</v>
      </c>
      <c r="P99" s="4">
        <v>0</v>
      </c>
      <c r="Q99" s="4">
        <v>0</v>
      </c>
      <c r="R99" s="2" t="s">
        <v>443</v>
      </c>
      <c r="S99" s="2" t="s">
        <v>443</v>
      </c>
      <c r="T99" s="4">
        <v>0</v>
      </c>
      <c r="U99" s="2" t="s">
        <v>37</v>
      </c>
      <c r="V99" s="5">
        <v>0</v>
      </c>
      <c r="W99" s="5" t="b">
        <f>TRUE()</f>
        <v>1</v>
      </c>
      <c r="X99" s="5" t="b">
        <f>FALSE()</f>
        <v>0</v>
      </c>
      <c r="Y99" s="5">
        <v>6</v>
      </c>
      <c r="Z99" s="5" t="b">
        <f>TRUE()</f>
        <v>1</v>
      </c>
      <c r="AA99" s="5" t="b">
        <f>FALSE()</f>
        <v>0</v>
      </c>
    </row>
    <row r="100" spans="1:27" x14ac:dyDescent="0.35">
      <c r="A100" s="2" t="s">
        <v>444</v>
      </c>
      <c r="B100" s="2" t="s">
        <v>445</v>
      </c>
      <c r="C100" s="2" t="s">
        <v>446</v>
      </c>
      <c r="D100" s="2" t="s">
        <v>37</v>
      </c>
      <c r="E100" s="2" t="s">
        <v>445</v>
      </c>
      <c r="F100" s="2" t="s">
        <v>446</v>
      </c>
      <c r="G100" s="2" t="s">
        <v>31</v>
      </c>
      <c r="H100" s="2" t="s">
        <v>31</v>
      </c>
      <c r="I100" s="2" t="s">
        <v>32</v>
      </c>
      <c r="J100" s="3">
        <v>45386</v>
      </c>
      <c r="K100" s="2" t="s">
        <v>32</v>
      </c>
      <c r="L100" s="3">
        <v>45386</v>
      </c>
      <c r="M100" s="4">
        <v>675.51499999999999</v>
      </c>
      <c r="N100" s="4">
        <v>796.31399999999996</v>
      </c>
      <c r="O100" s="4">
        <v>25.21</v>
      </c>
      <c r="P100" s="4">
        <v>62.91</v>
      </c>
      <c r="Q100" s="4">
        <v>4.4036999999999997</v>
      </c>
      <c r="R100" s="2" t="s">
        <v>447</v>
      </c>
      <c r="S100" s="2" t="s">
        <v>447</v>
      </c>
      <c r="T100" s="4">
        <v>0</v>
      </c>
      <c r="U100" s="2" t="s">
        <v>37</v>
      </c>
      <c r="V100" s="5">
        <v>0</v>
      </c>
      <c r="W100" s="5" t="b">
        <f>TRUE()</f>
        <v>1</v>
      </c>
      <c r="X100" s="5" t="b">
        <f>FALSE()</f>
        <v>0</v>
      </c>
      <c r="Y100" s="5">
        <v>12</v>
      </c>
      <c r="Z100" s="5" t="b">
        <f>TRUE()</f>
        <v>1</v>
      </c>
      <c r="AA100" s="5" t="b">
        <f>FALSE()</f>
        <v>0</v>
      </c>
    </row>
    <row r="101" spans="1:27" x14ac:dyDescent="0.35">
      <c r="A101" s="2" t="s">
        <v>448</v>
      </c>
      <c r="B101" s="2" t="s">
        <v>449</v>
      </c>
      <c r="C101" s="2" t="s">
        <v>450</v>
      </c>
      <c r="D101" s="2" t="s">
        <v>37</v>
      </c>
      <c r="E101" s="2" t="s">
        <v>449</v>
      </c>
      <c r="F101" s="2" t="s">
        <v>450</v>
      </c>
      <c r="G101" s="2" t="s">
        <v>31</v>
      </c>
      <c r="H101" s="2" t="s">
        <v>31</v>
      </c>
      <c r="I101" s="2" t="s">
        <v>32</v>
      </c>
      <c r="J101" s="3">
        <v>45386</v>
      </c>
      <c r="K101" s="2" t="s">
        <v>32</v>
      </c>
      <c r="L101" s="3">
        <v>45386</v>
      </c>
      <c r="M101" s="4">
        <v>1223.8979999999999</v>
      </c>
      <c r="N101" s="4">
        <v>1436.529</v>
      </c>
      <c r="O101" s="4">
        <v>25.21</v>
      </c>
      <c r="P101" s="4">
        <v>165.91499999999999</v>
      </c>
      <c r="Q101" s="4">
        <v>11.614050000000001</v>
      </c>
      <c r="R101" s="2" t="s">
        <v>451</v>
      </c>
      <c r="S101" s="2" t="s">
        <v>451</v>
      </c>
      <c r="T101" s="4">
        <v>0</v>
      </c>
      <c r="U101" s="2" t="s">
        <v>37</v>
      </c>
      <c r="V101" s="5">
        <v>0</v>
      </c>
      <c r="W101" s="5" t="b">
        <f>TRUE()</f>
        <v>1</v>
      </c>
      <c r="X101" s="5" t="b">
        <f>FALSE()</f>
        <v>0</v>
      </c>
      <c r="Y101" s="5">
        <v>18</v>
      </c>
      <c r="Z101" s="5" t="b">
        <f>TRUE()</f>
        <v>1</v>
      </c>
      <c r="AA101" s="5" t="b">
        <f>FALSE()</f>
        <v>0</v>
      </c>
    </row>
    <row r="102" spans="1:27" x14ac:dyDescent="0.35">
      <c r="A102" s="2" t="s">
        <v>452</v>
      </c>
      <c r="B102" s="2" t="s">
        <v>453</v>
      </c>
      <c r="C102" s="2" t="s">
        <v>454</v>
      </c>
      <c r="D102" s="2" t="s">
        <v>418</v>
      </c>
      <c r="E102" s="2" t="s">
        <v>453</v>
      </c>
      <c r="F102" s="2" t="s">
        <v>454</v>
      </c>
      <c r="G102" s="2" t="s">
        <v>31</v>
      </c>
      <c r="H102" s="2" t="s">
        <v>31</v>
      </c>
      <c r="I102" s="2" t="s">
        <v>32</v>
      </c>
      <c r="J102" s="3">
        <v>45386</v>
      </c>
      <c r="K102" s="2" t="s">
        <v>32</v>
      </c>
      <c r="L102" s="3">
        <v>45386</v>
      </c>
      <c r="M102" s="4">
        <v>1165.3779999999999</v>
      </c>
      <c r="N102" s="4">
        <v>1367.8620000000001</v>
      </c>
      <c r="O102" s="4">
        <v>25.21</v>
      </c>
      <c r="P102" s="4">
        <v>157.815</v>
      </c>
      <c r="Q102" s="4">
        <v>11.04705</v>
      </c>
      <c r="R102" s="2" t="s">
        <v>455</v>
      </c>
      <c r="S102" s="2" t="s">
        <v>455</v>
      </c>
      <c r="T102" s="4">
        <v>0</v>
      </c>
      <c r="U102" s="2" t="s">
        <v>418</v>
      </c>
      <c r="V102" s="5">
        <v>0</v>
      </c>
      <c r="W102" s="5" t="b">
        <f>TRUE()</f>
        <v>1</v>
      </c>
      <c r="X102" s="5" t="b">
        <f>FALSE()</f>
        <v>0</v>
      </c>
      <c r="Y102" s="5">
        <v>18</v>
      </c>
      <c r="Z102" s="5" t="b">
        <f>TRUE()</f>
        <v>1</v>
      </c>
      <c r="AA102" s="5" t="b">
        <f>FALSE()</f>
        <v>0</v>
      </c>
    </row>
    <row r="103" spans="1:27" x14ac:dyDescent="0.35">
      <c r="A103" s="2" t="s">
        <v>456</v>
      </c>
      <c r="B103" s="2" t="s">
        <v>457</v>
      </c>
      <c r="C103" s="2" t="s">
        <v>458</v>
      </c>
      <c r="D103" s="2" t="s">
        <v>37</v>
      </c>
      <c r="E103" s="2" t="s">
        <v>457</v>
      </c>
      <c r="F103" s="2" t="s">
        <v>458</v>
      </c>
      <c r="G103" s="2" t="s">
        <v>31</v>
      </c>
      <c r="H103" s="2" t="s">
        <v>31</v>
      </c>
      <c r="I103" s="2" t="s">
        <v>32</v>
      </c>
      <c r="J103" s="3">
        <v>45385</v>
      </c>
      <c r="K103" s="2" t="s">
        <v>32</v>
      </c>
      <c r="L103" s="3">
        <v>45385</v>
      </c>
      <c r="M103" s="4">
        <v>1681.3309999999999</v>
      </c>
      <c r="N103" s="4">
        <v>1973.2760000000001</v>
      </c>
      <c r="O103" s="4">
        <v>25.21</v>
      </c>
      <c r="P103" s="4">
        <v>229.23</v>
      </c>
      <c r="Q103" s="4">
        <v>16.046099999999999</v>
      </c>
      <c r="R103" s="2" t="s">
        <v>459</v>
      </c>
      <c r="S103" s="2" t="s">
        <v>459</v>
      </c>
      <c r="T103" s="4">
        <v>0</v>
      </c>
      <c r="U103" s="2" t="s">
        <v>37</v>
      </c>
      <c r="V103" s="5">
        <v>0</v>
      </c>
      <c r="W103" s="5" t="b">
        <f>TRUE()</f>
        <v>1</v>
      </c>
      <c r="X103" s="5" t="b">
        <f>FALSE()</f>
        <v>0</v>
      </c>
      <c r="Y103" s="5">
        <v>18</v>
      </c>
      <c r="Z103" s="5" t="b">
        <f>TRUE()</f>
        <v>1</v>
      </c>
      <c r="AA103" s="5" t="b">
        <f>FALSE()</f>
        <v>0</v>
      </c>
    </row>
    <row r="104" spans="1:27" x14ac:dyDescent="0.35">
      <c r="A104" s="2" t="s">
        <v>460</v>
      </c>
      <c r="B104" s="2" t="s">
        <v>461</v>
      </c>
      <c r="C104" s="2" t="s">
        <v>462</v>
      </c>
      <c r="D104" s="2" t="s">
        <v>463</v>
      </c>
      <c r="E104" s="2" t="s">
        <v>461</v>
      </c>
      <c r="F104" s="2" t="s">
        <v>462</v>
      </c>
      <c r="G104" s="2" t="s">
        <v>31</v>
      </c>
      <c r="H104" s="2" t="s">
        <v>31</v>
      </c>
      <c r="I104" s="2" t="s">
        <v>32</v>
      </c>
      <c r="J104" s="3">
        <v>45385</v>
      </c>
      <c r="K104" s="2" t="s">
        <v>32</v>
      </c>
      <c r="L104" s="3">
        <v>45385</v>
      </c>
      <c r="M104" s="4">
        <v>804.19299999999998</v>
      </c>
      <c r="N104" s="4">
        <v>956.99</v>
      </c>
      <c r="O104" s="4">
        <v>25.21</v>
      </c>
      <c r="P104" s="4">
        <v>0</v>
      </c>
      <c r="Q104" s="4">
        <v>0</v>
      </c>
      <c r="R104" s="2" t="s">
        <v>464</v>
      </c>
      <c r="S104" s="2" t="s">
        <v>465</v>
      </c>
      <c r="T104" s="4">
        <v>0</v>
      </c>
      <c r="U104" s="2" t="s">
        <v>463</v>
      </c>
      <c r="V104" s="5">
        <v>0</v>
      </c>
      <c r="W104" s="5" t="b">
        <f>TRUE()</f>
        <v>1</v>
      </c>
      <c r="X104" s="5" t="b">
        <f>FALSE()</f>
        <v>0</v>
      </c>
      <c r="Y104" s="5">
        <v>6</v>
      </c>
      <c r="Z104" s="5" t="b">
        <f>TRUE()</f>
        <v>1</v>
      </c>
      <c r="AA104" s="5" t="b">
        <f>FALSE()</f>
        <v>0</v>
      </c>
    </row>
    <row r="105" spans="1:27" x14ac:dyDescent="0.35">
      <c r="A105" s="2" t="s">
        <v>466</v>
      </c>
      <c r="B105" s="2" t="s">
        <v>467</v>
      </c>
      <c r="C105" s="2" t="s">
        <v>468</v>
      </c>
      <c r="D105" s="2" t="s">
        <v>78</v>
      </c>
      <c r="E105" s="2" t="s">
        <v>467</v>
      </c>
      <c r="F105" s="2" t="s">
        <v>468</v>
      </c>
      <c r="G105" s="2" t="s">
        <v>31</v>
      </c>
      <c r="H105" s="2" t="s">
        <v>31</v>
      </c>
      <c r="I105" s="2" t="s">
        <v>32</v>
      </c>
      <c r="J105" s="3">
        <v>45381</v>
      </c>
      <c r="K105" s="2" t="s">
        <v>32</v>
      </c>
      <c r="L105" s="3">
        <v>45381</v>
      </c>
      <c r="M105" s="4">
        <v>970.31100000000004</v>
      </c>
      <c r="N105" s="4">
        <v>1138.972</v>
      </c>
      <c r="O105" s="4">
        <v>25.21</v>
      </c>
      <c r="P105" s="4">
        <v>130.815</v>
      </c>
      <c r="Q105" s="4">
        <v>9.1570499999999999</v>
      </c>
      <c r="R105" s="2" t="s">
        <v>469</v>
      </c>
      <c r="S105" s="2" t="s">
        <v>469</v>
      </c>
      <c r="T105" s="4">
        <v>0</v>
      </c>
      <c r="U105" s="2" t="s">
        <v>78</v>
      </c>
      <c r="V105" s="5">
        <v>0</v>
      </c>
      <c r="W105" s="5" t="b">
        <f>TRUE()</f>
        <v>1</v>
      </c>
      <c r="X105" s="5" t="b">
        <f>FALSE()</f>
        <v>0</v>
      </c>
      <c r="Y105" s="5">
        <v>18</v>
      </c>
      <c r="Z105" s="5" t="b">
        <f>TRUE()</f>
        <v>1</v>
      </c>
      <c r="AA105" s="5" t="b">
        <f>FALSE()</f>
        <v>0</v>
      </c>
    </row>
    <row r="106" spans="1:27" x14ac:dyDescent="0.35">
      <c r="A106" s="2" t="s">
        <v>470</v>
      </c>
      <c r="B106" s="2" t="s">
        <v>471</v>
      </c>
      <c r="C106" s="2" t="s">
        <v>472</v>
      </c>
      <c r="D106" s="2" t="s">
        <v>37</v>
      </c>
      <c r="E106" s="2" t="s">
        <v>471</v>
      </c>
      <c r="F106" s="2" t="s">
        <v>472</v>
      </c>
      <c r="G106" s="2" t="s">
        <v>31</v>
      </c>
      <c r="H106" s="2" t="s">
        <v>31</v>
      </c>
      <c r="I106" s="2" t="s">
        <v>32</v>
      </c>
      <c r="J106" s="3">
        <v>45381</v>
      </c>
      <c r="K106" s="2" t="s">
        <v>32</v>
      </c>
      <c r="L106" s="3">
        <v>45381</v>
      </c>
      <c r="M106" s="4">
        <v>1378.002</v>
      </c>
      <c r="N106" s="4">
        <v>1617.3530000000001</v>
      </c>
      <c r="O106" s="4">
        <v>25.21</v>
      </c>
      <c r="P106" s="4">
        <v>187.245135</v>
      </c>
      <c r="Q106" s="4">
        <v>13.107159449999999</v>
      </c>
      <c r="R106" s="2" t="s">
        <v>473</v>
      </c>
      <c r="S106" s="2" t="s">
        <v>473</v>
      </c>
      <c r="T106" s="4">
        <v>0</v>
      </c>
      <c r="U106" s="2" t="s">
        <v>37</v>
      </c>
      <c r="V106" s="5">
        <v>0</v>
      </c>
      <c r="W106" s="5" t="b">
        <f>TRUE()</f>
        <v>1</v>
      </c>
      <c r="X106" s="5" t="b">
        <f>FALSE()</f>
        <v>0</v>
      </c>
      <c r="Y106" s="5">
        <v>18</v>
      </c>
      <c r="Z106" s="5" t="b">
        <f>TRUE()</f>
        <v>1</v>
      </c>
      <c r="AA106" s="5" t="b">
        <f>FALSE()</f>
        <v>0</v>
      </c>
    </row>
    <row r="107" spans="1:27" x14ac:dyDescent="0.35">
      <c r="A107" s="2" t="s">
        <v>474</v>
      </c>
      <c r="B107" s="2" t="s">
        <v>475</v>
      </c>
      <c r="C107" s="2" t="s">
        <v>476</v>
      </c>
      <c r="D107" s="2" t="s">
        <v>363</v>
      </c>
      <c r="E107" s="2" t="s">
        <v>475</v>
      </c>
      <c r="F107" s="2" t="s">
        <v>476</v>
      </c>
      <c r="G107" s="2" t="s">
        <v>31</v>
      </c>
      <c r="H107" s="2" t="s">
        <v>31</v>
      </c>
      <c r="I107" s="2" t="s">
        <v>32</v>
      </c>
      <c r="J107" s="3">
        <v>45380</v>
      </c>
      <c r="K107" s="2" t="s">
        <v>32</v>
      </c>
      <c r="L107" s="3">
        <v>45380</v>
      </c>
      <c r="M107" s="4">
        <v>1895.904</v>
      </c>
      <c r="N107" s="4">
        <v>2225.0540000000001</v>
      </c>
      <c r="O107" s="4">
        <v>25.21</v>
      </c>
      <c r="P107" s="4">
        <v>258.92986500000001</v>
      </c>
      <c r="Q107" s="4">
        <v>18.125090549999999</v>
      </c>
      <c r="R107" s="2" t="s">
        <v>477</v>
      </c>
      <c r="S107" s="2" t="s">
        <v>477</v>
      </c>
      <c r="T107" s="4">
        <v>0</v>
      </c>
      <c r="U107" s="2" t="s">
        <v>363</v>
      </c>
      <c r="V107" s="5">
        <v>0</v>
      </c>
      <c r="W107" s="5" t="b">
        <f>TRUE()</f>
        <v>1</v>
      </c>
      <c r="X107" s="5" t="b">
        <f>FALSE()</f>
        <v>0</v>
      </c>
      <c r="Y107" s="5">
        <v>18</v>
      </c>
      <c r="Z107" s="5" t="b">
        <f>TRUE()</f>
        <v>1</v>
      </c>
      <c r="AA107" s="5" t="b">
        <f>FALSE()</f>
        <v>0</v>
      </c>
    </row>
    <row r="108" spans="1:27" x14ac:dyDescent="0.35">
      <c r="A108" s="2" t="s">
        <v>478</v>
      </c>
      <c r="B108" s="2" t="s">
        <v>479</v>
      </c>
      <c r="C108" s="2" t="s">
        <v>480</v>
      </c>
      <c r="D108" s="2" t="s">
        <v>154</v>
      </c>
      <c r="E108" s="2" t="s">
        <v>479</v>
      </c>
      <c r="F108" s="2" t="s">
        <v>480</v>
      </c>
      <c r="G108" s="2" t="s">
        <v>31</v>
      </c>
      <c r="H108" s="2" t="s">
        <v>31</v>
      </c>
      <c r="I108" s="2" t="s">
        <v>32</v>
      </c>
      <c r="J108" s="3">
        <v>45370</v>
      </c>
      <c r="K108" s="2" t="s">
        <v>32</v>
      </c>
      <c r="L108" s="3">
        <v>45370</v>
      </c>
      <c r="M108" s="4">
        <v>2539.627</v>
      </c>
      <c r="N108" s="4">
        <v>2980.3919999999998</v>
      </c>
      <c r="O108" s="4">
        <v>25.21</v>
      </c>
      <c r="P108" s="4">
        <v>348.03013499999997</v>
      </c>
      <c r="Q108" s="4">
        <v>24.362109449999998</v>
      </c>
      <c r="R108" s="2" t="s">
        <v>481</v>
      </c>
      <c r="S108" s="2" t="s">
        <v>481</v>
      </c>
      <c r="T108" s="4">
        <v>0</v>
      </c>
      <c r="U108" s="2" t="s">
        <v>154</v>
      </c>
      <c r="V108" s="5">
        <v>0</v>
      </c>
      <c r="W108" s="5" t="b">
        <f>TRUE()</f>
        <v>1</v>
      </c>
      <c r="X108" s="5" t="b">
        <f>FALSE()</f>
        <v>0</v>
      </c>
      <c r="Y108" s="5">
        <v>18</v>
      </c>
      <c r="Z108" s="5" t="b">
        <f>TRUE()</f>
        <v>1</v>
      </c>
      <c r="AA108" s="5" t="b">
        <f>FALSE()</f>
        <v>0</v>
      </c>
    </row>
    <row r="109" spans="1:27" x14ac:dyDescent="0.35">
      <c r="A109" s="2" t="s">
        <v>482</v>
      </c>
      <c r="B109" s="2" t="s">
        <v>483</v>
      </c>
      <c r="C109" s="2" t="s">
        <v>484</v>
      </c>
      <c r="D109" s="2" t="s">
        <v>37</v>
      </c>
      <c r="E109" s="2" t="s">
        <v>483</v>
      </c>
      <c r="F109" s="2" t="s">
        <v>484</v>
      </c>
      <c r="G109" s="2" t="s">
        <v>31</v>
      </c>
      <c r="H109" s="2" t="s">
        <v>31</v>
      </c>
      <c r="I109" s="2" t="s">
        <v>32</v>
      </c>
      <c r="J109" s="3">
        <v>45366</v>
      </c>
      <c r="K109" s="2" t="s">
        <v>32</v>
      </c>
      <c r="L109" s="3">
        <v>45366</v>
      </c>
      <c r="M109" s="4">
        <v>806.45399999999995</v>
      </c>
      <c r="N109" s="4">
        <v>946.70399999999995</v>
      </c>
      <c r="O109" s="4">
        <v>25.21</v>
      </c>
      <c r="P109" s="4">
        <v>108.13500000000001</v>
      </c>
      <c r="Q109" s="4">
        <v>7.5694499999999998</v>
      </c>
      <c r="R109" s="2" t="s">
        <v>485</v>
      </c>
      <c r="S109" s="2" t="s">
        <v>485</v>
      </c>
      <c r="T109" s="4">
        <v>0</v>
      </c>
      <c r="U109" s="2" t="s">
        <v>37</v>
      </c>
      <c r="V109" s="5">
        <v>0</v>
      </c>
      <c r="W109" s="5" t="b">
        <f>TRUE()</f>
        <v>1</v>
      </c>
      <c r="X109" s="5" t="b">
        <f>FALSE()</f>
        <v>0</v>
      </c>
      <c r="Y109" s="5">
        <v>18</v>
      </c>
      <c r="Z109" s="5" t="b">
        <f>TRUE()</f>
        <v>1</v>
      </c>
      <c r="AA109" s="5" t="b">
        <f>FALSE()</f>
        <v>0</v>
      </c>
    </row>
    <row r="110" spans="1:27" x14ac:dyDescent="0.35">
      <c r="A110" s="2" t="s">
        <v>486</v>
      </c>
      <c r="B110" s="2" t="s">
        <v>487</v>
      </c>
      <c r="C110" s="2" t="s">
        <v>488</v>
      </c>
      <c r="D110" s="2" t="s">
        <v>489</v>
      </c>
      <c r="E110" s="2" t="s">
        <v>487</v>
      </c>
      <c r="F110" s="2" t="s">
        <v>488</v>
      </c>
      <c r="G110" s="2" t="s">
        <v>31</v>
      </c>
      <c r="H110" s="2" t="s">
        <v>31</v>
      </c>
      <c r="I110" s="2" t="s">
        <v>32</v>
      </c>
      <c r="J110" s="3">
        <v>45366</v>
      </c>
      <c r="K110" s="2" t="s">
        <v>32</v>
      </c>
      <c r="L110" s="3">
        <v>45366</v>
      </c>
      <c r="M110" s="4">
        <v>1073.1089999999999</v>
      </c>
      <c r="N110" s="4">
        <v>1277</v>
      </c>
      <c r="O110" s="4">
        <v>25.21</v>
      </c>
      <c r="P110" s="4">
        <v>0</v>
      </c>
      <c r="Q110" s="4">
        <v>0</v>
      </c>
      <c r="R110" s="2" t="s">
        <v>490</v>
      </c>
      <c r="S110" s="2" t="s">
        <v>490</v>
      </c>
      <c r="T110" s="4">
        <v>0</v>
      </c>
      <c r="U110" s="2" t="s">
        <v>489</v>
      </c>
      <c r="V110" s="5">
        <v>0</v>
      </c>
      <c r="W110" s="5" t="b">
        <f>TRUE()</f>
        <v>1</v>
      </c>
      <c r="X110" s="5" t="b">
        <f>FALSE()</f>
        <v>0</v>
      </c>
      <c r="Y110" s="5">
        <v>6</v>
      </c>
      <c r="Z110" s="5" t="b">
        <f>TRUE()</f>
        <v>1</v>
      </c>
      <c r="AA110" s="5" t="b">
        <f>FALSE()</f>
        <v>0</v>
      </c>
    </row>
    <row r="111" spans="1:27" x14ac:dyDescent="0.35">
      <c r="A111" s="2" t="s">
        <v>491</v>
      </c>
      <c r="B111" s="2" t="s">
        <v>492</v>
      </c>
      <c r="C111" s="2" t="s">
        <v>493</v>
      </c>
      <c r="D111" s="2" t="s">
        <v>205</v>
      </c>
      <c r="E111" s="2" t="s">
        <v>492</v>
      </c>
      <c r="F111" s="2" t="s">
        <v>493</v>
      </c>
      <c r="G111" s="2" t="s">
        <v>31</v>
      </c>
      <c r="H111" s="2" t="s">
        <v>31</v>
      </c>
      <c r="I111" s="2" t="s">
        <v>32</v>
      </c>
      <c r="J111" s="3">
        <v>45363</v>
      </c>
      <c r="K111" s="2" t="s">
        <v>32</v>
      </c>
      <c r="L111" s="3">
        <v>45363</v>
      </c>
      <c r="M111" s="4">
        <v>2266.5329999999999</v>
      </c>
      <c r="N111" s="4">
        <v>2659.9470000000001</v>
      </c>
      <c r="O111" s="4">
        <v>25.21</v>
      </c>
      <c r="P111" s="4">
        <v>310.23013500000002</v>
      </c>
      <c r="Q111" s="4">
        <v>21.716109450000001</v>
      </c>
      <c r="R111" s="2" t="s">
        <v>494</v>
      </c>
      <c r="S111" s="2" t="s">
        <v>494</v>
      </c>
      <c r="T111" s="4">
        <v>0</v>
      </c>
      <c r="U111" s="2" t="s">
        <v>205</v>
      </c>
      <c r="V111" s="5">
        <v>0</v>
      </c>
      <c r="W111" s="5" t="b">
        <f>TRUE()</f>
        <v>1</v>
      </c>
      <c r="X111" s="5" t="b">
        <f>FALSE()</f>
        <v>0</v>
      </c>
      <c r="Y111" s="5">
        <v>18</v>
      </c>
      <c r="Z111" s="5" t="b">
        <f>TRUE()</f>
        <v>1</v>
      </c>
      <c r="AA111" s="5" t="b">
        <f>FALSE()</f>
        <v>0</v>
      </c>
    </row>
    <row r="112" spans="1:27" x14ac:dyDescent="0.35">
      <c r="A112" s="2" t="s">
        <v>495</v>
      </c>
      <c r="B112" s="2" t="s">
        <v>496</v>
      </c>
      <c r="C112" s="2" t="s">
        <v>497</v>
      </c>
      <c r="D112" s="2" t="s">
        <v>154</v>
      </c>
      <c r="E112" s="2" t="s">
        <v>496</v>
      </c>
      <c r="F112" s="2" t="s">
        <v>497</v>
      </c>
      <c r="G112" s="2" t="s">
        <v>31</v>
      </c>
      <c r="H112" s="2" t="s">
        <v>31</v>
      </c>
      <c r="I112" s="2" t="s">
        <v>32</v>
      </c>
      <c r="J112" s="3">
        <v>45359</v>
      </c>
      <c r="K112" s="2" t="s">
        <v>32</v>
      </c>
      <c r="L112" s="3">
        <v>45359</v>
      </c>
      <c r="M112" s="4">
        <v>1307.636</v>
      </c>
      <c r="N112" s="4">
        <v>1402.1959999999999</v>
      </c>
      <c r="O112" s="4">
        <v>25.21</v>
      </c>
      <c r="P112" s="4">
        <v>161.86500000000001</v>
      </c>
      <c r="Q112" s="4">
        <v>11.330550000000001</v>
      </c>
      <c r="R112" s="2" t="s">
        <v>498</v>
      </c>
      <c r="S112" s="2" t="s">
        <v>498</v>
      </c>
      <c r="T112" s="4">
        <v>0</v>
      </c>
      <c r="U112" s="2" t="s">
        <v>154</v>
      </c>
      <c r="V112" s="5">
        <v>0</v>
      </c>
      <c r="W112" s="5" t="b">
        <f>TRUE()</f>
        <v>1</v>
      </c>
      <c r="X112" s="5" t="b">
        <f>FALSE()</f>
        <v>0</v>
      </c>
      <c r="Y112" s="5">
        <v>18</v>
      </c>
      <c r="Z112" s="5" t="b">
        <f>TRUE()</f>
        <v>1</v>
      </c>
      <c r="AA112" s="5" t="b">
        <f>FALSE()</f>
        <v>0</v>
      </c>
    </row>
    <row r="113" spans="1:27" x14ac:dyDescent="0.35">
      <c r="A113" s="2" t="s">
        <v>499</v>
      </c>
      <c r="B113" s="2" t="s">
        <v>500</v>
      </c>
      <c r="C113" s="2" t="s">
        <v>501</v>
      </c>
      <c r="D113" s="2" t="s">
        <v>37</v>
      </c>
      <c r="E113" s="2" t="s">
        <v>500</v>
      </c>
      <c r="F113" s="2" t="s">
        <v>501</v>
      </c>
      <c r="G113" s="2" t="s">
        <v>31</v>
      </c>
      <c r="H113" s="2" t="s">
        <v>31</v>
      </c>
      <c r="I113" s="2" t="s">
        <v>32</v>
      </c>
      <c r="J113" s="3">
        <v>45355</v>
      </c>
      <c r="K113" s="2" t="s">
        <v>32</v>
      </c>
      <c r="L113" s="3">
        <v>45355</v>
      </c>
      <c r="M113" s="4">
        <v>1893.9449999999999</v>
      </c>
      <c r="N113" s="4">
        <v>2222.7550000000001</v>
      </c>
      <c r="O113" s="4">
        <v>25.21</v>
      </c>
      <c r="P113" s="4">
        <v>258.65865000000002</v>
      </c>
      <c r="Q113" s="4">
        <v>18.106105500000002</v>
      </c>
      <c r="R113" s="2" t="s">
        <v>502</v>
      </c>
      <c r="S113" s="2" t="s">
        <v>502</v>
      </c>
      <c r="T113" s="4">
        <v>0</v>
      </c>
      <c r="U113" s="2" t="s">
        <v>37</v>
      </c>
      <c r="V113" s="5">
        <v>0</v>
      </c>
      <c r="W113" s="5" t="b">
        <f>TRUE()</f>
        <v>1</v>
      </c>
      <c r="X113" s="5" t="b">
        <f>FALSE()</f>
        <v>0</v>
      </c>
      <c r="Y113" s="5">
        <v>18</v>
      </c>
      <c r="Z113" s="5" t="b">
        <f>TRUE()</f>
        <v>1</v>
      </c>
      <c r="AA113" s="5" t="b">
        <f>FALSE()</f>
        <v>0</v>
      </c>
    </row>
    <row r="114" spans="1:27" x14ac:dyDescent="0.35">
      <c r="A114" s="2" t="s">
        <v>503</v>
      </c>
      <c r="B114" s="2" t="s">
        <v>504</v>
      </c>
      <c r="C114" s="2" t="s">
        <v>505</v>
      </c>
      <c r="D114" s="2" t="s">
        <v>37</v>
      </c>
      <c r="E114" s="2" t="s">
        <v>504</v>
      </c>
      <c r="F114" s="2" t="s">
        <v>505</v>
      </c>
      <c r="G114" s="2" t="s">
        <v>31</v>
      </c>
      <c r="H114" s="2" t="s">
        <v>31</v>
      </c>
      <c r="I114" s="2" t="s">
        <v>32</v>
      </c>
      <c r="J114" s="3">
        <v>45355</v>
      </c>
      <c r="K114" s="2" t="s">
        <v>32</v>
      </c>
      <c r="L114" s="3">
        <v>45355</v>
      </c>
      <c r="M114" s="4">
        <v>1804.223</v>
      </c>
      <c r="N114" s="4">
        <v>2117.4769999999999</v>
      </c>
      <c r="O114" s="4">
        <v>25.21</v>
      </c>
      <c r="P114" s="4">
        <v>246.24</v>
      </c>
      <c r="Q114" s="4">
        <v>17.236799999999999</v>
      </c>
      <c r="R114" s="2" t="s">
        <v>506</v>
      </c>
      <c r="S114" s="2" t="s">
        <v>506</v>
      </c>
      <c r="T114" s="4">
        <v>0</v>
      </c>
      <c r="U114" s="2" t="s">
        <v>37</v>
      </c>
      <c r="V114" s="5">
        <v>0</v>
      </c>
      <c r="W114" s="5" t="b">
        <f>TRUE()</f>
        <v>1</v>
      </c>
      <c r="X114" s="5" t="b">
        <f>FALSE()</f>
        <v>0</v>
      </c>
      <c r="Y114" s="5">
        <v>18</v>
      </c>
      <c r="Z114" s="5" t="b">
        <f>TRUE()</f>
        <v>1</v>
      </c>
      <c r="AA114" s="5" t="b">
        <f>FALSE()</f>
        <v>0</v>
      </c>
    </row>
    <row r="115" spans="1:27" x14ac:dyDescent="0.35">
      <c r="A115" s="2" t="s">
        <v>507</v>
      </c>
      <c r="B115" s="2" t="s">
        <v>508</v>
      </c>
      <c r="C115" s="2" t="s">
        <v>509</v>
      </c>
      <c r="D115" s="2" t="s">
        <v>37</v>
      </c>
      <c r="E115" s="2" t="s">
        <v>508</v>
      </c>
      <c r="F115" s="2" t="s">
        <v>509</v>
      </c>
      <c r="G115" s="2" t="s">
        <v>31</v>
      </c>
      <c r="H115" s="2" t="s">
        <v>31</v>
      </c>
      <c r="I115" s="2" t="s">
        <v>32</v>
      </c>
      <c r="J115" s="3">
        <v>45355</v>
      </c>
      <c r="K115" s="2" t="s">
        <v>32</v>
      </c>
      <c r="L115" s="3">
        <v>45355</v>
      </c>
      <c r="M115" s="4">
        <v>1535.03</v>
      </c>
      <c r="N115" s="4">
        <v>1801.6089999999999</v>
      </c>
      <c r="O115" s="4">
        <v>25.21</v>
      </c>
      <c r="P115" s="4">
        <v>208.98</v>
      </c>
      <c r="Q115" s="4">
        <v>14.6286</v>
      </c>
      <c r="R115" s="2" t="s">
        <v>510</v>
      </c>
      <c r="S115" s="2" t="s">
        <v>510</v>
      </c>
      <c r="T115" s="4">
        <v>0</v>
      </c>
      <c r="U115" s="2" t="s">
        <v>37</v>
      </c>
      <c r="V115" s="5">
        <v>0</v>
      </c>
      <c r="W115" s="5" t="b">
        <f>TRUE()</f>
        <v>1</v>
      </c>
      <c r="X115" s="5" t="b">
        <f>FALSE()</f>
        <v>0</v>
      </c>
      <c r="Y115" s="5">
        <v>18</v>
      </c>
      <c r="Z115" s="5" t="b">
        <f>TRUE()</f>
        <v>1</v>
      </c>
      <c r="AA115" s="5" t="b">
        <f>FALSE()</f>
        <v>0</v>
      </c>
    </row>
    <row r="116" spans="1:27" x14ac:dyDescent="0.35">
      <c r="A116" s="2" t="s">
        <v>511</v>
      </c>
      <c r="B116" s="2" t="s">
        <v>512</v>
      </c>
      <c r="C116" s="2" t="s">
        <v>513</v>
      </c>
      <c r="D116" s="2" t="s">
        <v>363</v>
      </c>
      <c r="E116" s="2" t="s">
        <v>512</v>
      </c>
      <c r="F116" s="2" t="s">
        <v>513</v>
      </c>
      <c r="G116" s="2" t="s">
        <v>31</v>
      </c>
      <c r="H116" s="2" t="s">
        <v>31</v>
      </c>
      <c r="I116" s="2" t="s">
        <v>32</v>
      </c>
      <c r="J116" s="3">
        <v>45355</v>
      </c>
      <c r="K116" s="2" t="s">
        <v>32</v>
      </c>
      <c r="L116" s="3">
        <v>45355</v>
      </c>
      <c r="M116" s="4">
        <v>2169.9740000000002</v>
      </c>
      <c r="N116" s="4">
        <v>2546.6460000000002</v>
      </c>
      <c r="O116" s="4">
        <v>25.21</v>
      </c>
      <c r="P116" s="4">
        <v>296.86500000000001</v>
      </c>
      <c r="Q116" s="4">
        <v>20.780550000000002</v>
      </c>
      <c r="R116" s="2" t="s">
        <v>514</v>
      </c>
      <c r="S116" s="2" t="s">
        <v>514</v>
      </c>
      <c r="T116" s="4">
        <v>0</v>
      </c>
      <c r="U116" s="2" t="s">
        <v>363</v>
      </c>
      <c r="V116" s="5">
        <v>0</v>
      </c>
      <c r="W116" s="5" t="b">
        <f>TRUE()</f>
        <v>1</v>
      </c>
      <c r="X116" s="5" t="b">
        <f>FALSE()</f>
        <v>0</v>
      </c>
      <c r="Y116" s="5">
        <v>18</v>
      </c>
      <c r="Z116" s="5" t="b">
        <f>TRUE()</f>
        <v>1</v>
      </c>
      <c r="AA116" s="5" t="b">
        <f>FALSE()</f>
        <v>0</v>
      </c>
    </row>
    <row r="117" spans="1:27" x14ac:dyDescent="0.35">
      <c r="A117" s="2" t="s">
        <v>515</v>
      </c>
      <c r="B117" s="2" t="s">
        <v>516</v>
      </c>
      <c r="C117" s="2" t="s">
        <v>517</v>
      </c>
      <c r="D117" s="2" t="s">
        <v>37</v>
      </c>
      <c r="E117" s="2" t="s">
        <v>516</v>
      </c>
      <c r="F117" s="2" t="s">
        <v>517</v>
      </c>
      <c r="G117" s="2" t="s">
        <v>31</v>
      </c>
      <c r="H117" s="2" t="s">
        <v>31</v>
      </c>
      <c r="I117" s="2" t="s">
        <v>32</v>
      </c>
      <c r="J117" s="3">
        <v>45352</v>
      </c>
      <c r="K117" s="2" t="s">
        <v>32</v>
      </c>
      <c r="L117" s="3">
        <v>45352</v>
      </c>
      <c r="M117" s="4">
        <v>1492.3150000000001</v>
      </c>
      <c r="N117" s="4">
        <v>1663.13</v>
      </c>
      <c r="O117" s="4">
        <v>25.21</v>
      </c>
      <c r="P117" s="4">
        <v>192.64500000000001</v>
      </c>
      <c r="Q117" s="4">
        <v>13.485150000000001</v>
      </c>
      <c r="R117" s="2" t="s">
        <v>518</v>
      </c>
      <c r="S117" s="2" t="s">
        <v>518</v>
      </c>
      <c r="T117" s="4">
        <v>0</v>
      </c>
      <c r="U117" s="2" t="s">
        <v>37</v>
      </c>
      <c r="V117" s="5">
        <v>0</v>
      </c>
      <c r="W117" s="5" t="b">
        <f>TRUE()</f>
        <v>1</v>
      </c>
      <c r="X117" s="5" t="b">
        <f>FALSE()</f>
        <v>0</v>
      </c>
      <c r="Y117" s="5">
        <v>18</v>
      </c>
      <c r="Z117" s="5" t="b">
        <f>TRUE()</f>
        <v>1</v>
      </c>
      <c r="AA117" s="5" t="b">
        <f>FALSE()</f>
        <v>0</v>
      </c>
    </row>
    <row r="118" spans="1:27" x14ac:dyDescent="0.35">
      <c r="A118" s="2" t="s">
        <v>519</v>
      </c>
      <c r="B118" s="2" t="s">
        <v>520</v>
      </c>
      <c r="C118" s="2" t="s">
        <v>521</v>
      </c>
      <c r="D118" s="2" t="s">
        <v>363</v>
      </c>
      <c r="E118" s="2" t="s">
        <v>520</v>
      </c>
      <c r="F118" s="2" t="s">
        <v>521</v>
      </c>
      <c r="G118" s="2" t="s">
        <v>31</v>
      </c>
      <c r="H118" s="2" t="s">
        <v>31</v>
      </c>
      <c r="I118" s="2" t="s">
        <v>32</v>
      </c>
      <c r="J118" s="3">
        <v>45351</v>
      </c>
      <c r="K118" s="2" t="s">
        <v>32</v>
      </c>
      <c r="L118" s="3">
        <v>45351</v>
      </c>
      <c r="M118" s="4">
        <v>2316.2539999999999</v>
      </c>
      <c r="N118" s="4">
        <v>2718.2890000000002</v>
      </c>
      <c r="O118" s="4">
        <v>25.21</v>
      </c>
      <c r="P118" s="4">
        <v>317.112165</v>
      </c>
      <c r="Q118" s="4">
        <v>22.197851549999999</v>
      </c>
      <c r="R118" s="2" t="s">
        <v>522</v>
      </c>
      <c r="S118" s="2" t="s">
        <v>522</v>
      </c>
      <c r="T118" s="4">
        <v>0</v>
      </c>
      <c r="U118" s="2" t="s">
        <v>363</v>
      </c>
      <c r="V118" s="5">
        <v>0</v>
      </c>
      <c r="W118" s="5" t="b">
        <f>TRUE()</f>
        <v>1</v>
      </c>
      <c r="X118" s="5" t="b">
        <f>FALSE()</f>
        <v>0</v>
      </c>
      <c r="Y118" s="5">
        <v>18</v>
      </c>
      <c r="Z118" s="5" t="b">
        <f>TRUE()</f>
        <v>1</v>
      </c>
      <c r="AA118" s="5" t="b">
        <f>FALSE()</f>
        <v>0</v>
      </c>
    </row>
    <row r="119" spans="1:27" x14ac:dyDescent="0.35">
      <c r="A119" s="2" t="s">
        <v>523</v>
      </c>
      <c r="B119" s="2" t="s">
        <v>524</v>
      </c>
      <c r="C119" s="2" t="s">
        <v>525</v>
      </c>
      <c r="D119" s="2" t="s">
        <v>37</v>
      </c>
      <c r="E119" s="2" t="s">
        <v>524</v>
      </c>
      <c r="F119" s="2" t="s">
        <v>525</v>
      </c>
      <c r="G119" s="2" t="s">
        <v>31</v>
      </c>
      <c r="H119" s="2" t="s">
        <v>31</v>
      </c>
      <c r="I119" s="2" t="s">
        <v>32</v>
      </c>
      <c r="J119" s="3">
        <v>45349</v>
      </c>
      <c r="K119" s="2" t="s">
        <v>32</v>
      </c>
      <c r="L119" s="3">
        <v>45349</v>
      </c>
      <c r="M119" s="4">
        <v>1586.723</v>
      </c>
      <c r="N119" s="4">
        <v>1862.2639999999999</v>
      </c>
      <c r="O119" s="4">
        <v>25.21</v>
      </c>
      <c r="P119" s="4">
        <v>216.13499999999999</v>
      </c>
      <c r="Q119" s="4">
        <v>15.12945</v>
      </c>
      <c r="R119" s="2" t="s">
        <v>526</v>
      </c>
      <c r="S119" s="2" t="s">
        <v>526</v>
      </c>
      <c r="T119" s="4">
        <v>0</v>
      </c>
      <c r="U119" s="2" t="s">
        <v>37</v>
      </c>
      <c r="V119" s="5">
        <v>0</v>
      </c>
      <c r="W119" s="5" t="b">
        <f>TRUE()</f>
        <v>1</v>
      </c>
      <c r="X119" s="5" t="b">
        <f>FALSE()</f>
        <v>0</v>
      </c>
      <c r="Y119" s="5">
        <v>18</v>
      </c>
      <c r="Z119" s="5" t="b">
        <f>TRUE()</f>
        <v>1</v>
      </c>
      <c r="AA119" s="5" t="b">
        <f>FALSE()</f>
        <v>0</v>
      </c>
    </row>
    <row r="120" spans="1:27" x14ac:dyDescent="0.35">
      <c r="A120" s="2" t="s">
        <v>527</v>
      </c>
      <c r="B120" s="2" t="s">
        <v>528</v>
      </c>
      <c r="C120" s="2" t="s">
        <v>529</v>
      </c>
      <c r="D120" s="2" t="s">
        <v>489</v>
      </c>
      <c r="E120" s="2" t="s">
        <v>528</v>
      </c>
      <c r="F120" s="2" t="s">
        <v>529</v>
      </c>
      <c r="G120" s="2" t="s">
        <v>31</v>
      </c>
      <c r="H120" s="2" t="s">
        <v>31</v>
      </c>
      <c r="I120" s="2" t="s">
        <v>32</v>
      </c>
      <c r="J120" s="3">
        <v>45349</v>
      </c>
      <c r="K120" s="2" t="s">
        <v>32</v>
      </c>
      <c r="L120" s="3">
        <v>45349</v>
      </c>
      <c r="M120" s="4">
        <v>3019.3679999999999</v>
      </c>
      <c r="N120" s="4">
        <v>3550.9929999999999</v>
      </c>
      <c r="O120" s="4">
        <v>25.21</v>
      </c>
      <c r="P120" s="4">
        <v>350.46013499999998</v>
      </c>
      <c r="Q120" s="4">
        <v>24.53220945</v>
      </c>
      <c r="R120" s="2" t="s">
        <v>530</v>
      </c>
      <c r="S120" s="2" t="s">
        <v>530</v>
      </c>
      <c r="T120" s="4">
        <v>0</v>
      </c>
      <c r="U120" s="2" t="s">
        <v>489</v>
      </c>
      <c r="V120" s="5">
        <v>0</v>
      </c>
      <c r="W120" s="5" t="b">
        <f>TRUE()</f>
        <v>1</v>
      </c>
      <c r="X120" s="5" t="b">
        <f>FALSE()</f>
        <v>0</v>
      </c>
      <c r="Y120" s="5">
        <v>18</v>
      </c>
      <c r="Z120" s="5" t="b">
        <f>TRUE()</f>
        <v>1</v>
      </c>
      <c r="AA120" s="5" t="b">
        <f>FALSE()</f>
        <v>0</v>
      </c>
    </row>
    <row r="121" spans="1:27" x14ac:dyDescent="0.35">
      <c r="A121" s="2" t="s">
        <v>531</v>
      </c>
      <c r="B121" s="2" t="s">
        <v>532</v>
      </c>
      <c r="C121" s="2" t="s">
        <v>533</v>
      </c>
      <c r="D121" s="2" t="s">
        <v>353</v>
      </c>
      <c r="E121" s="2" t="s">
        <v>532</v>
      </c>
      <c r="F121" s="2" t="s">
        <v>533</v>
      </c>
      <c r="G121" s="2" t="s">
        <v>31</v>
      </c>
      <c r="H121" s="2" t="s">
        <v>31</v>
      </c>
      <c r="I121" s="2" t="s">
        <v>32</v>
      </c>
      <c r="J121" s="3">
        <v>45341</v>
      </c>
      <c r="K121" s="2" t="s">
        <v>32</v>
      </c>
      <c r="L121" s="3">
        <v>45341</v>
      </c>
      <c r="M121" s="4">
        <v>954.61599999999999</v>
      </c>
      <c r="N121" s="4">
        <v>1125.204</v>
      </c>
      <c r="O121" s="4">
        <v>25.21</v>
      </c>
      <c r="P121" s="4">
        <v>89.91</v>
      </c>
      <c r="Q121" s="4">
        <v>6.2937000000000003</v>
      </c>
      <c r="R121" s="2" t="s">
        <v>534</v>
      </c>
      <c r="S121" s="2" t="s">
        <v>534</v>
      </c>
      <c r="T121" s="4">
        <v>0</v>
      </c>
      <c r="U121" s="2" t="s">
        <v>353</v>
      </c>
      <c r="V121" s="5">
        <v>0</v>
      </c>
      <c r="W121" s="5" t="b">
        <f>TRUE()</f>
        <v>1</v>
      </c>
      <c r="X121" s="5" t="b">
        <f>FALSE()</f>
        <v>0</v>
      </c>
      <c r="Y121" s="5">
        <v>12</v>
      </c>
      <c r="Z121" s="5" t="b">
        <f>TRUE()</f>
        <v>1</v>
      </c>
      <c r="AA121" s="5" t="b">
        <f>FALSE()</f>
        <v>0</v>
      </c>
    </row>
    <row r="122" spans="1:27" x14ac:dyDescent="0.35">
      <c r="A122" s="2" t="s">
        <v>535</v>
      </c>
      <c r="B122" s="2" t="s">
        <v>536</v>
      </c>
      <c r="C122" s="2" t="s">
        <v>537</v>
      </c>
      <c r="D122" s="2" t="s">
        <v>37</v>
      </c>
      <c r="E122" s="2" t="s">
        <v>536</v>
      </c>
      <c r="F122" s="2" t="s">
        <v>537</v>
      </c>
      <c r="G122" s="2" t="s">
        <v>31</v>
      </c>
      <c r="H122" s="2" t="s">
        <v>31</v>
      </c>
      <c r="I122" s="2" t="s">
        <v>32</v>
      </c>
      <c r="J122" s="3">
        <v>45339</v>
      </c>
      <c r="K122" s="2" t="s">
        <v>32</v>
      </c>
      <c r="L122" s="3">
        <v>45339</v>
      </c>
      <c r="M122" s="4">
        <v>1119.2850000000001</v>
      </c>
      <c r="N122" s="4">
        <v>1319.249</v>
      </c>
      <c r="O122" s="4">
        <v>25.21</v>
      </c>
      <c r="P122" s="4">
        <v>105.84</v>
      </c>
      <c r="Q122" s="4">
        <v>7.4088000000000003</v>
      </c>
      <c r="R122" s="2" t="s">
        <v>538</v>
      </c>
      <c r="S122" s="2" t="s">
        <v>538</v>
      </c>
      <c r="T122" s="4">
        <v>0</v>
      </c>
      <c r="U122" s="2" t="s">
        <v>37</v>
      </c>
      <c r="V122" s="5">
        <v>0</v>
      </c>
      <c r="W122" s="5" t="b">
        <f>TRUE()</f>
        <v>1</v>
      </c>
      <c r="X122" s="5" t="b">
        <f>FALSE()</f>
        <v>0</v>
      </c>
      <c r="Y122" s="5">
        <v>12</v>
      </c>
      <c r="Z122" s="5" t="b">
        <f>TRUE()</f>
        <v>1</v>
      </c>
      <c r="AA122" s="5" t="b">
        <f>FALSE()</f>
        <v>0</v>
      </c>
    </row>
    <row r="123" spans="1:27" x14ac:dyDescent="0.35">
      <c r="A123" s="2" t="s">
        <v>539</v>
      </c>
      <c r="B123" s="2" t="s">
        <v>540</v>
      </c>
      <c r="C123" s="2" t="s">
        <v>541</v>
      </c>
      <c r="D123" s="2" t="s">
        <v>154</v>
      </c>
      <c r="E123" s="2" t="s">
        <v>540</v>
      </c>
      <c r="F123" s="2" t="s">
        <v>541</v>
      </c>
      <c r="G123" s="2" t="s">
        <v>31</v>
      </c>
      <c r="H123" s="2" t="s">
        <v>31</v>
      </c>
      <c r="I123" s="2" t="s">
        <v>32</v>
      </c>
      <c r="J123" s="3">
        <v>45335</v>
      </c>
      <c r="K123" s="2" t="s">
        <v>32</v>
      </c>
      <c r="L123" s="3">
        <v>45335</v>
      </c>
      <c r="M123" s="4">
        <v>2462.5749999999998</v>
      </c>
      <c r="N123" s="4">
        <v>2889.9810000000002</v>
      </c>
      <c r="O123" s="4">
        <v>25.21</v>
      </c>
      <c r="P123" s="4">
        <v>337.36500000000001</v>
      </c>
      <c r="Q123" s="4">
        <v>23.615549999999999</v>
      </c>
      <c r="R123" s="2" t="s">
        <v>542</v>
      </c>
      <c r="S123" s="2" t="s">
        <v>542</v>
      </c>
      <c r="T123" s="4">
        <v>0</v>
      </c>
      <c r="U123" s="2" t="s">
        <v>154</v>
      </c>
      <c r="V123" s="5">
        <v>0</v>
      </c>
      <c r="W123" s="5" t="b">
        <f>TRUE()</f>
        <v>1</v>
      </c>
      <c r="X123" s="5" t="b">
        <f>FALSE()</f>
        <v>0</v>
      </c>
      <c r="Y123" s="5">
        <v>18</v>
      </c>
      <c r="Z123" s="5" t="b">
        <f>TRUE()</f>
        <v>1</v>
      </c>
      <c r="AA123" s="5" t="b">
        <f>FALSE()</f>
        <v>0</v>
      </c>
    </row>
    <row r="124" spans="1:27" x14ac:dyDescent="0.35">
      <c r="A124" s="2" t="s">
        <v>543</v>
      </c>
      <c r="B124" s="2" t="s">
        <v>544</v>
      </c>
      <c r="C124" s="2" t="s">
        <v>545</v>
      </c>
      <c r="D124" s="2" t="s">
        <v>154</v>
      </c>
      <c r="E124" s="2" t="s">
        <v>544</v>
      </c>
      <c r="F124" s="2" t="s">
        <v>545</v>
      </c>
      <c r="G124" s="2" t="s">
        <v>31</v>
      </c>
      <c r="H124" s="2" t="s">
        <v>31</v>
      </c>
      <c r="I124" s="2" t="s">
        <v>32</v>
      </c>
      <c r="J124" s="3">
        <v>45335</v>
      </c>
      <c r="K124" s="2" t="s">
        <v>32</v>
      </c>
      <c r="L124" s="3">
        <v>45335</v>
      </c>
      <c r="M124" s="4">
        <v>2242.14</v>
      </c>
      <c r="N124" s="4">
        <v>2631.3240000000001</v>
      </c>
      <c r="O124" s="4">
        <v>25.21</v>
      </c>
      <c r="P124" s="4">
        <v>306.85365000000002</v>
      </c>
      <c r="Q124" s="4">
        <v>21.4797555</v>
      </c>
      <c r="R124" s="2" t="s">
        <v>546</v>
      </c>
      <c r="S124" s="2" t="s">
        <v>546</v>
      </c>
      <c r="T124" s="4">
        <v>0</v>
      </c>
      <c r="U124" s="2" t="s">
        <v>154</v>
      </c>
      <c r="V124" s="5">
        <v>0</v>
      </c>
      <c r="W124" s="5" t="b">
        <f>TRUE()</f>
        <v>1</v>
      </c>
      <c r="X124" s="5" t="b">
        <f>FALSE()</f>
        <v>0</v>
      </c>
      <c r="Y124" s="5">
        <v>18</v>
      </c>
      <c r="Z124" s="5" t="b">
        <f>TRUE()</f>
        <v>1</v>
      </c>
      <c r="AA124" s="5" t="b">
        <f>FALSE()</f>
        <v>0</v>
      </c>
    </row>
    <row r="125" spans="1:27" x14ac:dyDescent="0.35">
      <c r="A125" s="2" t="s">
        <v>547</v>
      </c>
      <c r="B125" s="2" t="s">
        <v>548</v>
      </c>
      <c r="C125" s="2" t="s">
        <v>549</v>
      </c>
      <c r="D125" s="2" t="s">
        <v>418</v>
      </c>
      <c r="E125" s="2" t="s">
        <v>548</v>
      </c>
      <c r="F125" s="2" t="s">
        <v>549</v>
      </c>
      <c r="G125" s="2" t="s">
        <v>31</v>
      </c>
      <c r="H125" s="2" t="s">
        <v>31</v>
      </c>
      <c r="I125" s="2" t="s">
        <v>32</v>
      </c>
      <c r="J125" s="3">
        <v>45334</v>
      </c>
      <c r="K125" s="2" t="s">
        <v>32</v>
      </c>
      <c r="L125" s="3">
        <v>45334</v>
      </c>
      <c r="M125" s="4">
        <v>629.22500000000002</v>
      </c>
      <c r="N125" s="4">
        <v>746.78300000000002</v>
      </c>
      <c r="O125" s="4">
        <v>25.21</v>
      </c>
      <c r="P125" s="4">
        <v>16.62</v>
      </c>
      <c r="Q125" s="4">
        <v>1.1634</v>
      </c>
      <c r="R125" s="2" t="s">
        <v>550</v>
      </c>
      <c r="S125" s="2" t="s">
        <v>550</v>
      </c>
      <c r="T125" s="4">
        <v>0</v>
      </c>
      <c r="U125" s="2" t="s">
        <v>418</v>
      </c>
      <c r="V125" s="5">
        <v>0</v>
      </c>
      <c r="W125" s="5" t="b">
        <f>TRUE()</f>
        <v>1</v>
      </c>
      <c r="X125" s="5" t="b">
        <f>FALSE()</f>
        <v>0</v>
      </c>
      <c r="Y125" s="5">
        <v>4</v>
      </c>
      <c r="Z125" s="5" t="b">
        <f>TRUE()</f>
        <v>1</v>
      </c>
      <c r="AA125" s="5" t="b">
        <f>FALSE()</f>
        <v>0</v>
      </c>
    </row>
    <row r="126" spans="1:27" x14ac:dyDescent="0.35">
      <c r="A126" s="2" t="s">
        <v>551</v>
      </c>
      <c r="B126" s="2" t="s">
        <v>552</v>
      </c>
      <c r="C126" s="2" t="s">
        <v>553</v>
      </c>
      <c r="D126" s="2" t="s">
        <v>37</v>
      </c>
      <c r="E126" s="2" t="s">
        <v>552</v>
      </c>
      <c r="F126" s="2" t="s">
        <v>553</v>
      </c>
      <c r="G126" s="2" t="s">
        <v>31</v>
      </c>
      <c r="H126" s="2" t="s">
        <v>31</v>
      </c>
      <c r="I126" s="2" t="s">
        <v>32</v>
      </c>
      <c r="J126" s="3">
        <v>45332</v>
      </c>
      <c r="K126" s="2" t="s">
        <v>32</v>
      </c>
      <c r="L126" s="3">
        <v>45332</v>
      </c>
      <c r="M126" s="4">
        <v>1077.598</v>
      </c>
      <c r="N126" s="4">
        <v>1264.8620000000001</v>
      </c>
      <c r="O126" s="4">
        <v>25.21</v>
      </c>
      <c r="P126" s="4">
        <v>145.66499999999999</v>
      </c>
      <c r="Q126" s="4">
        <v>10.19655</v>
      </c>
      <c r="R126" s="2" t="s">
        <v>554</v>
      </c>
      <c r="S126" s="2" t="s">
        <v>554</v>
      </c>
      <c r="T126" s="4">
        <v>0</v>
      </c>
      <c r="U126" s="2" t="s">
        <v>37</v>
      </c>
      <c r="V126" s="5">
        <v>0</v>
      </c>
      <c r="W126" s="5" t="b">
        <f>TRUE()</f>
        <v>1</v>
      </c>
      <c r="X126" s="5" t="b">
        <f>FALSE()</f>
        <v>0</v>
      </c>
      <c r="Y126" s="5">
        <v>18</v>
      </c>
      <c r="Z126" s="5" t="b">
        <f>TRUE()</f>
        <v>1</v>
      </c>
      <c r="AA126" s="5" t="b">
        <f>FALSE()</f>
        <v>0</v>
      </c>
    </row>
    <row r="127" spans="1:27" x14ac:dyDescent="0.35">
      <c r="A127" s="2" t="s">
        <v>555</v>
      </c>
      <c r="B127" s="2" t="s">
        <v>556</v>
      </c>
      <c r="C127" s="2" t="s">
        <v>557</v>
      </c>
      <c r="D127" s="2" t="s">
        <v>154</v>
      </c>
      <c r="E127" s="2" t="s">
        <v>556</v>
      </c>
      <c r="F127" s="2" t="s">
        <v>557</v>
      </c>
      <c r="G127" s="2" t="s">
        <v>31</v>
      </c>
      <c r="H127" s="2" t="s">
        <v>31</v>
      </c>
      <c r="I127" s="2" t="s">
        <v>32</v>
      </c>
      <c r="J127" s="3">
        <v>45327</v>
      </c>
      <c r="K127" s="2" t="s">
        <v>32</v>
      </c>
      <c r="L127" s="3">
        <v>45327</v>
      </c>
      <c r="M127" s="4">
        <v>1955.39</v>
      </c>
      <c r="N127" s="4">
        <v>2294.8539999999998</v>
      </c>
      <c r="O127" s="4">
        <v>25.21</v>
      </c>
      <c r="P127" s="4">
        <v>267.16351500000002</v>
      </c>
      <c r="Q127" s="4">
        <v>18.701446050000001</v>
      </c>
      <c r="R127" s="2" t="s">
        <v>558</v>
      </c>
      <c r="S127" s="2" t="s">
        <v>558</v>
      </c>
      <c r="T127" s="4">
        <v>0</v>
      </c>
      <c r="U127" s="2" t="s">
        <v>154</v>
      </c>
      <c r="V127" s="5">
        <v>0</v>
      </c>
      <c r="W127" s="5" t="b">
        <f>TRUE()</f>
        <v>1</v>
      </c>
      <c r="X127" s="5" t="b">
        <f>FALSE()</f>
        <v>0</v>
      </c>
      <c r="Y127" s="5">
        <v>18</v>
      </c>
      <c r="Z127" s="5" t="b">
        <f>TRUE()</f>
        <v>1</v>
      </c>
      <c r="AA127" s="5" t="b">
        <f>FALSE()</f>
        <v>0</v>
      </c>
    </row>
    <row r="128" spans="1:27" x14ac:dyDescent="0.35">
      <c r="A128" s="2" t="s">
        <v>559</v>
      </c>
      <c r="B128" s="2" t="s">
        <v>560</v>
      </c>
      <c r="C128" s="2" t="s">
        <v>561</v>
      </c>
      <c r="D128" s="2" t="s">
        <v>562</v>
      </c>
      <c r="E128" s="2" t="s">
        <v>560</v>
      </c>
      <c r="F128" s="2" t="s">
        <v>561</v>
      </c>
      <c r="G128" s="2" t="s">
        <v>31</v>
      </c>
      <c r="H128" s="2" t="s">
        <v>31</v>
      </c>
      <c r="I128" s="2" t="s">
        <v>32</v>
      </c>
      <c r="J128" s="3">
        <v>45324</v>
      </c>
      <c r="K128" s="2" t="s">
        <v>32</v>
      </c>
      <c r="L128" s="3">
        <v>45324</v>
      </c>
      <c r="M128" s="4">
        <v>1097.104</v>
      </c>
      <c r="N128" s="4">
        <v>1287.75</v>
      </c>
      <c r="O128" s="4">
        <v>25.21</v>
      </c>
      <c r="P128" s="4">
        <v>148.36500000000001</v>
      </c>
      <c r="Q128" s="4">
        <v>10.38555</v>
      </c>
      <c r="R128" s="2" t="s">
        <v>563</v>
      </c>
      <c r="S128" s="2" t="s">
        <v>563</v>
      </c>
      <c r="T128" s="4">
        <v>0</v>
      </c>
      <c r="U128" s="2" t="s">
        <v>562</v>
      </c>
      <c r="V128" s="5">
        <v>0</v>
      </c>
      <c r="W128" s="5" t="b">
        <f>TRUE()</f>
        <v>1</v>
      </c>
      <c r="X128" s="5" t="b">
        <f>FALSE()</f>
        <v>0</v>
      </c>
      <c r="Y128" s="5">
        <v>18</v>
      </c>
      <c r="Z128" s="5" t="b">
        <f>TRUE()</f>
        <v>1</v>
      </c>
      <c r="AA128" s="5" t="b">
        <f>FALSE()</f>
        <v>0</v>
      </c>
    </row>
    <row r="129" spans="1:27" x14ac:dyDescent="0.35">
      <c r="A129" s="2" t="s">
        <v>564</v>
      </c>
      <c r="B129" s="2" t="s">
        <v>565</v>
      </c>
      <c r="C129" s="2" t="s">
        <v>566</v>
      </c>
      <c r="D129" s="2" t="s">
        <v>196</v>
      </c>
      <c r="E129" s="2" t="s">
        <v>565</v>
      </c>
      <c r="F129" s="2" t="s">
        <v>566</v>
      </c>
      <c r="G129" s="2" t="s">
        <v>31</v>
      </c>
      <c r="H129" s="2" t="s">
        <v>31</v>
      </c>
      <c r="I129" s="2" t="s">
        <v>32</v>
      </c>
      <c r="J129" s="3">
        <v>45323</v>
      </c>
      <c r="K129" s="2" t="s">
        <v>32</v>
      </c>
      <c r="L129" s="3">
        <v>45323</v>
      </c>
      <c r="M129" s="4">
        <v>1206.3430000000001</v>
      </c>
      <c r="N129" s="4">
        <v>1415.93</v>
      </c>
      <c r="O129" s="4">
        <v>25.21</v>
      </c>
      <c r="P129" s="4">
        <v>163.48513500000001</v>
      </c>
      <c r="Q129" s="4">
        <v>11.443959449999999</v>
      </c>
      <c r="R129" s="2" t="s">
        <v>567</v>
      </c>
      <c r="S129" s="2" t="s">
        <v>567</v>
      </c>
      <c r="T129" s="4">
        <v>0</v>
      </c>
      <c r="U129" s="2" t="s">
        <v>196</v>
      </c>
      <c r="V129" s="5">
        <v>0</v>
      </c>
      <c r="W129" s="5" t="b">
        <f>TRUE()</f>
        <v>1</v>
      </c>
      <c r="X129" s="5" t="b">
        <f>FALSE()</f>
        <v>0</v>
      </c>
      <c r="Y129" s="5">
        <v>18</v>
      </c>
      <c r="Z129" s="5" t="b">
        <f>TRUE()</f>
        <v>1</v>
      </c>
      <c r="AA129" s="5" t="b">
        <f>FALSE()</f>
        <v>0</v>
      </c>
    </row>
    <row r="130" spans="1:27" x14ac:dyDescent="0.35">
      <c r="A130" s="2" t="s">
        <v>568</v>
      </c>
      <c r="B130" s="2" t="s">
        <v>569</v>
      </c>
      <c r="C130" s="2" t="s">
        <v>570</v>
      </c>
      <c r="D130" s="2" t="s">
        <v>37</v>
      </c>
      <c r="E130" s="2" t="s">
        <v>569</v>
      </c>
      <c r="F130" s="2" t="s">
        <v>570</v>
      </c>
      <c r="G130" s="2" t="s">
        <v>31</v>
      </c>
      <c r="H130" s="2" t="s">
        <v>31</v>
      </c>
      <c r="I130" s="2" t="s">
        <v>32</v>
      </c>
      <c r="J130" s="3">
        <v>45323</v>
      </c>
      <c r="K130" s="2" t="s">
        <v>32</v>
      </c>
      <c r="L130" s="3">
        <v>45323</v>
      </c>
      <c r="M130" s="4">
        <v>1028.7339999999999</v>
      </c>
      <c r="N130" s="4">
        <v>1207.5250000000001</v>
      </c>
      <c r="O130" s="4">
        <v>25.21</v>
      </c>
      <c r="P130" s="4">
        <v>138.9015</v>
      </c>
      <c r="Q130" s="4">
        <v>9.7231050000000003</v>
      </c>
      <c r="R130" s="2" t="s">
        <v>571</v>
      </c>
      <c r="S130" s="2" t="s">
        <v>571</v>
      </c>
      <c r="T130" s="4">
        <v>0</v>
      </c>
      <c r="U130" s="2" t="s">
        <v>37</v>
      </c>
      <c r="V130" s="5">
        <v>0</v>
      </c>
      <c r="W130" s="5" t="b">
        <f>TRUE()</f>
        <v>1</v>
      </c>
      <c r="X130" s="5" t="b">
        <f>FALSE()</f>
        <v>0</v>
      </c>
      <c r="Y130" s="5">
        <v>18</v>
      </c>
      <c r="Z130" s="5" t="b">
        <f>TRUE()</f>
        <v>1</v>
      </c>
      <c r="AA130" s="5" t="b">
        <f>FALSE()</f>
        <v>0</v>
      </c>
    </row>
    <row r="131" spans="1:27" x14ac:dyDescent="0.35">
      <c r="A131" s="2" t="s">
        <v>572</v>
      </c>
      <c r="B131" s="2" t="s">
        <v>573</v>
      </c>
      <c r="C131" s="2" t="s">
        <v>574</v>
      </c>
      <c r="D131" s="2" t="s">
        <v>258</v>
      </c>
      <c r="E131" s="2" t="s">
        <v>573</v>
      </c>
      <c r="F131" s="2" t="s">
        <v>574</v>
      </c>
      <c r="G131" s="2" t="s">
        <v>31</v>
      </c>
      <c r="H131" s="2" t="s">
        <v>31</v>
      </c>
      <c r="I131" s="2" t="s">
        <v>32</v>
      </c>
      <c r="J131" s="3">
        <v>45322</v>
      </c>
      <c r="K131" s="2" t="s">
        <v>32</v>
      </c>
      <c r="L131" s="3">
        <v>45322</v>
      </c>
      <c r="M131" s="4">
        <v>1720.3440000000001</v>
      </c>
      <c r="N131" s="4">
        <v>2019.0540000000001</v>
      </c>
      <c r="O131" s="4">
        <v>25.21</v>
      </c>
      <c r="P131" s="4">
        <v>234.63</v>
      </c>
      <c r="Q131" s="4">
        <v>16.424099999999999</v>
      </c>
      <c r="R131" s="2" t="s">
        <v>575</v>
      </c>
      <c r="S131" s="2" t="s">
        <v>575</v>
      </c>
      <c r="T131" s="4">
        <v>0</v>
      </c>
      <c r="U131" s="2" t="s">
        <v>258</v>
      </c>
      <c r="V131" s="5">
        <v>0</v>
      </c>
      <c r="W131" s="5" t="b">
        <f>TRUE()</f>
        <v>1</v>
      </c>
      <c r="X131" s="5" t="b">
        <f>FALSE()</f>
        <v>0</v>
      </c>
      <c r="Y131" s="5">
        <v>18</v>
      </c>
      <c r="Z131" s="5" t="b">
        <f>TRUE()</f>
        <v>1</v>
      </c>
      <c r="AA131" s="5" t="b">
        <f>FALSE()</f>
        <v>0</v>
      </c>
    </row>
    <row r="132" spans="1:27" x14ac:dyDescent="0.35">
      <c r="A132" s="2" t="s">
        <v>576</v>
      </c>
      <c r="B132" s="2" t="s">
        <v>577</v>
      </c>
      <c r="C132" s="2" t="s">
        <v>578</v>
      </c>
      <c r="D132" s="2" t="s">
        <v>418</v>
      </c>
      <c r="E132" s="2" t="s">
        <v>577</v>
      </c>
      <c r="F132" s="2" t="s">
        <v>578</v>
      </c>
      <c r="G132" s="2" t="s">
        <v>31</v>
      </c>
      <c r="H132" s="2" t="s">
        <v>31</v>
      </c>
      <c r="I132" s="2" t="s">
        <v>32</v>
      </c>
      <c r="J132" s="3">
        <v>45321</v>
      </c>
      <c r="K132" s="2" t="s">
        <v>32</v>
      </c>
      <c r="L132" s="3">
        <v>45321</v>
      </c>
      <c r="M132" s="4">
        <v>1069.4970000000001</v>
      </c>
      <c r="N132" s="4">
        <v>1210.7149999999999</v>
      </c>
      <c r="O132" s="4">
        <v>25.21</v>
      </c>
      <c r="P132" s="4">
        <v>96.93</v>
      </c>
      <c r="Q132" s="4">
        <v>6.7850999999999999</v>
      </c>
      <c r="R132" s="2" t="s">
        <v>579</v>
      </c>
      <c r="S132" s="2" t="s">
        <v>579</v>
      </c>
      <c r="T132" s="4">
        <v>0</v>
      </c>
      <c r="U132" s="2" t="s">
        <v>418</v>
      </c>
      <c r="V132" s="5">
        <v>0</v>
      </c>
      <c r="W132" s="5" t="b">
        <f>TRUE()</f>
        <v>1</v>
      </c>
      <c r="X132" s="5" t="b">
        <f>FALSE()</f>
        <v>0</v>
      </c>
      <c r="Y132" s="5">
        <v>12</v>
      </c>
      <c r="Z132" s="5" t="b">
        <f>TRUE()</f>
        <v>1</v>
      </c>
      <c r="AA132" s="5" t="b">
        <f>FALSE()</f>
        <v>0</v>
      </c>
    </row>
    <row r="133" spans="1:27" x14ac:dyDescent="0.35">
      <c r="A133" s="2" t="s">
        <v>580</v>
      </c>
      <c r="B133" s="2" t="s">
        <v>581</v>
      </c>
      <c r="C133" s="2" t="s">
        <v>582</v>
      </c>
      <c r="D133" s="2" t="s">
        <v>418</v>
      </c>
      <c r="E133" s="2" t="s">
        <v>581</v>
      </c>
      <c r="F133" s="2" t="s">
        <v>582</v>
      </c>
      <c r="G133" s="2" t="s">
        <v>31</v>
      </c>
      <c r="H133" s="2" t="s">
        <v>31</v>
      </c>
      <c r="I133" s="2" t="s">
        <v>32</v>
      </c>
      <c r="J133" s="3">
        <v>45321</v>
      </c>
      <c r="K133" s="2" t="s">
        <v>32</v>
      </c>
      <c r="L133" s="3">
        <v>45321</v>
      </c>
      <c r="M133" s="4">
        <v>1377.9190000000001</v>
      </c>
      <c r="N133" s="4">
        <v>1624.02</v>
      </c>
      <c r="O133" s="4">
        <v>25.21</v>
      </c>
      <c r="P133" s="4">
        <v>130.86000000000001</v>
      </c>
      <c r="Q133" s="4">
        <v>9.1601999999999997</v>
      </c>
      <c r="R133" s="2" t="s">
        <v>583</v>
      </c>
      <c r="S133" s="2" t="s">
        <v>583</v>
      </c>
      <c r="T133" s="4">
        <v>0</v>
      </c>
      <c r="U133" s="2" t="s">
        <v>418</v>
      </c>
      <c r="V133" s="5">
        <v>0</v>
      </c>
      <c r="W133" s="5" t="b">
        <f>TRUE()</f>
        <v>1</v>
      </c>
      <c r="X133" s="5" t="b">
        <f>FALSE()</f>
        <v>0</v>
      </c>
      <c r="Y133" s="5">
        <v>12</v>
      </c>
      <c r="Z133" s="5" t="b">
        <f>TRUE()</f>
        <v>1</v>
      </c>
      <c r="AA133" s="5" t="b">
        <f>FALSE()</f>
        <v>0</v>
      </c>
    </row>
    <row r="134" spans="1:27" x14ac:dyDescent="0.35">
      <c r="A134" s="2" t="s">
        <v>584</v>
      </c>
      <c r="B134" s="2" t="s">
        <v>585</v>
      </c>
      <c r="C134" s="2" t="s">
        <v>586</v>
      </c>
      <c r="D134" s="2" t="s">
        <v>37</v>
      </c>
      <c r="E134" s="2" t="s">
        <v>585</v>
      </c>
      <c r="F134" s="2" t="s">
        <v>586</v>
      </c>
      <c r="G134" s="2" t="s">
        <v>31</v>
      </c>
      <c r="H134" s="2" t="s">
        <v>31</v>
      </c>
      <c r="I134" s="2" t="s">
        <v>32</v>
      </c>
      <c r="J134" s="3">
        <v>45321</v>
      </c>
      <c r="K134" s="2" t="s">
        <v>32</v>
      </c>
      <c r="L134" s="3">
        <v>45321</v>
      </c>
      <c r="M134" s="4">
        <v>1209.1010000000001</v>
      </c>
      <c r="N134" s="4">
        <v>1430.4770000000001</v>
      </c>
      <c r="O134" s="4">
        <v>25.21</v>
      </c>
      <c r="P134" s="4">
        <v>69.614474999999999</v>
      </c>
      <c r="Q134" s="4">
        <v>4.8730132499999996</v>
      </c>
      <c r="R134" s="2" t="s">
        <v>587</v>
      </c>
      <c r="S134" s="2" t="s">
        <v>587</v>
      </c>
      <c r="T134" s="4">
        <v>0</v>
      </c>
      <c r="U134" s="2" t="s">
        <v>37</v>
      </c>
      <c r="V134" s="5">
        <v>0</v>
      </c>
      <c r="W134" s="5" t="b">
        <f>TRUE()</f>
        <v>1</v>
      </c>
      <c r="X134" s="5" t="b">
        <f>FALSE()</f>
        <v>0</v>
      </c>
      <c r="Y134" s="5">
        <v>7</v>
      </c>
      <c r="Z134" s="5" t="b">
        <f>TRUE()</f>
        <v>1</v>
      </c>
      <c r="AA134" s="5" t="b">
        <f>FALSE()</f>
        <v>0</v>
      </c>
    </row>
    <row r="135" spans="1:27" x14ac:dyDescent="0.35">
      <c r="A135" s="2" t="s">
        <v>588</v>
      </c>
      <c r="B135" s="2" t="s">
        <v>589</v>
      </c>
      <c r="C135" s="2" t="s">
        <v>590</v>
      </c>
      <c r="D135" s="2" t="s">
        <v>418</v>
      </c>
      <c r="E135" s="2" t="s">
        <v>589</v>
      </c>
      <c r="F135" s="2" t="s">
        <v>590</v>
      </c>
      <c r="G135" s="2" t="s">
        <v>31</v>
      </c>
      <c r="H135" s="2" t="s">
        <v>31</v>
      </c>
      <c r="I135" s="2" t="s">
        <v>32</v>
      </c>
      <c r="J135" s="3">
        <v>45320</v>
      </c>
      <c r="K135" s="2" t="s">
        <v>32</v>
      </c>
      <c r="L135" s="3">
        <v>45320</v>
      </c>
      <c r="M135" s="4">
        <v>1298.8399999999999</v>
      </c>
      <c r="N135" s="4">
        <v>1530.835</v>
      </c>
      <c r="O135" s="4">
        <v>25.21</v>
      </c>
      <c r="P135" s="4">
        <v>123.21</v>
      </c>
      <c r="Q135" s="4">
        <v>8.6247000000000007</v>
      </c>
      <c r="R135" s="2" t="s">
        <v>591</v>
      </c>
      <c r="S135" s="2" t="s">
        <v>591</v>
      </c>
      <c r="T135" s="4">
        <v>0</v>
      </c>
      <c r="U135" s="2" t="s">
        <v>418</v>
      </c>
      <c r="V135" s="5">
        <v>0</v>
      </c>
      <c r="W135" s="5" t="b">
        <f>TRUE()</f>
        <v>1</v>
      </c>
      <c r="X135" s="5" t="b">
        <f>FALSE()</f>
        <v>0</v>
      </c>
      <c r="Y135" s="5">
        <v>12</v>
      </c>
      <c r="Z135" s="5" t="b">
        <f>TRUE()</f>
        <v>1</v>
      </c>
      <c r="AA135" s="5" t="b">
        <f>FALSE()</f>
        <v>0</v>
      </c>
    </row>
    <row r="136" spans="1:27" x14ac:dyDescent="0.35">
      <c r="A136" s="2" t="s">
        <v>592</v>
      </c>
      <c r="B136" s="2" t="s">
        <v>593</v>
      </c>
      <c r="C136" s="2" t="s">
        <v>594</v>
      </c>
      <c r="D136" s="2" t="s">
        <v>37</v>
      </c>
      <c r="E136" s="2" t="s">
        <v>593</v>
      </c>
      <c r="F136" s="2" t="s">
        <v>594</v>
      </c>
      <c r="G136" s="2" t="s">
        <v>31</v>
      </c>
      <c r="H136" s="2" t="s">
        <v>31</v>
      </c>
      <c r="I136" s="2" t="s">
        <v>32</v>
      </c>
      <c r="J136" s="3">
        <v>45317</v>
      </c>
      <c r="K136" s="2" t="s">
        <v>32</v>
      </c>
      <c r="L136" s="3">
        <v>45313</v>
      </c>
      <c r="M136" s="4">
        <v>1916.5830000000001</v>
      </c>
      <c r="N136" s="4">
        <v>2258.777</v>
      </c>
      <c r="O136" s="4">
        <v>25.21</v>
      </c>
      <c r="P136" s="4">
        <v>182.97</v>
      </c>
      <c r="Q136" s="4">
        <v>12.8079</v>
      </c>
      <c r="R136" s="2" t="s">
        <v>595</v>
      </c>
      <c r="S136" s="2" t="s">
        <v>595</v>
      </c>
      <c r="T136" s="4">
        <v>0</v>
      </c>
      <c r="U136" s="2" t="s">
        <v>37</v>
      </c>
      <c r="V136" s="5">
        <v>0</v>
      </c>
      <c r="W136" s="5" t="b">
        <f>TRUE()</f>
        <v>1</v>
      </c>
      <c r="X136" s="5" t="b">
        <f>FALSE()</f>
        <v>0</v>
      </c>
      <c r="Y136" s="5">
        <v>12</v>
      </c>
      <c r="Z136" s="5" t="b">
        <f>TRUE()</f>
        <v>1</v>
      </c>
      <c r="AA136" s="5" t="b">
        <f>FALSE()</f>
        <v>0</v>
      </c>
    </row>
    <row r="137" spans="1:27" x14ac:dyDescent="0.35">
      <c r="A137" s="2" t="s">
        <v>596</v>
      </c>
      <c r="B137" s="2" t="s">
        <v>597</v>
      </c>
      <c r="C137" s="2" t="s">
        <v>598</v>
      </c>
      <c r="D137" s="2" t="s">
        <v>258</v>
      </c>
      <c r="E137" s="2" t="s">
        <v>597</v>
      </c>
      <c r="F137" s="2" t="s">
        <v>598</v>
      </c>
      <c r="G137" s="2" t="s">
        <v>31</v>
      </c>
      <c r="H137" s="2" t="s">
        <v>31</v>
      </c>
      <c r="I137" s="2" t="s">
        <v>32</v>
      </c>
      <c r="J137" s="3">
        <v>45316</v>
      </c>
      <c r="K137" s="2" t="s">
        <v>32</v>
      </c>
      <c r="L137" s="3">
        <v>45316</v>
      </c>
      <c r="M137" s="4">
        <v>2498.6619999999998</v>
      </c>
      <c r="N137" s="4">
        <v>2932.3240000000001</v>
      </c>
      <c r="O137" s="4">
        <v>25.21</v>
      </c>
      <c r="P137" s="4">
        <v>342.35986500000001</v>
      </c>
      <c r="Q137" s="4">
        <v>23.965190549999999</v>
      </c>
      <c r="R137" s="2" t="s">
        <v>599</v>
      </c>
      <c r="S137" s="2" t="s">
        <v>599</v>
      </c>
      <c r="T137" s="4">
        <v>0</v>
      </c>
      <c r="U137" s="2" t="s">
        <v>258</v>
      </c>
      <c r="V137" s="5">
        <v>0</v>
      </c>
      <c r="W137" s="5" t="b">
        <f>TRUE()</f>
        <v>1</v>
      </c>
      <c r="X137" s="5" t="b">
        <f>FALSE()</f>
        <v>0</v>
      </c>
      <c r="Y137" s="5">
        <v>18</v>
      </c>
      <c r="Z137" s="5" t="b">
        <f>TRUE()</f>
        <v>1</v>
      </c>
      <c r="AA137" s="5" t="b">
        <f>FALSE()</f>
        <v>0</v>
      </c>
    </row>
    <row r="138" spans="1:27" x14ac:dyDescent="0.35">
      <c r="A138" s="2" t="s">
        <v>600</v>
      </c>
      <c r="B138" s="2" t="s">
        <v>601</v>
      </c>
      <c r="C138" s="2" t="s">
        <v>602</v>
      </c>
      <c r="D138" s="2" t="s">
        <v>37</v>
      </c>
      <c r="E138" s="2" t="s">
        <v>601</v>
      </c>
      <c r="F138" s="2" t="s">
        <v>602</v>
      </c>
      <c r="G138" s="2" t="s">
        <v>31</v>
      </c>
      <c r="H138" s="2" t="s">
        <v>31</v>
      </c>
      <c r="I138" s="2" t="s">
        <v>32</v>
      </c>
      <c r="J138" s="3">
        <v>45316</v>
      </c>
      <c r="K138" s="2" t="s">
        <v>32</v>
      </c>
      <c r="L138" s="3">
        <v>45316</v>
      </c>
      <c r="M138" s="4">
        <v>1448.2249999999999</v>
      </c>
      <c r="N138" s="4">
        <v>1699.752</v>
      </c>
      <c r="O138" s="4">
        <v>25.21</v>
      </c>
      <c r="P138" s="4">
        <v>196.965</v>
      </c>
      <c r="Q138" s="4">
        <v>13.78755</v>
      </c>
      <c r="R138" s="2" t="s">
        <v>603</v>
      </c>
      <c r="S138" s="2" t="s">
        <v>603</v>
      </c>
      <c r="T138" s="4">
        <v>0</v>
      </c>
      <c r="U138" s="2" t="s">
        <v>37</v>
      </c>
      <c r="V138" s="5">
        <v>0</v>
      </c>
      <c r="W138" s="5" t="b">
        <f>TRUE()</f>
        <v>1</v>
      </c>
      <c r="X138" s="5" t="b">
        <f>FALSE()</f>
        <v>0</v>
      </c>
      <c r="Y138" s="5">
        <v>18</v>
      </c>
      <c r="Z138" s="5" t="b">
        <f>TRUE()</f>
        <v>1</v>
      </c>
      <c r="AA138" s="5" t="b">
        <f>FALSE()</f>
        <v>0</v>
      </c>
    </row>
    <row r="139" spans="1:27" x14ac:dyDescent="0.35">
      <c r="A139" s="2" t="s">
        <v>604</v>
      </c>
      <c r="B139" s="2" t="s">
        <v>605</v>
      </c>
      <c r="C139" s="2" t="s">
        <v>606</v>
      </c>
      <c r="D139" s="2" t="s">
        <v>37</v>
      </c>
      <c r="E139" s="2" t="s">
        <v>605</v>
      </c>
      <c r="F139" s="2" t="s">
        <v>606</v>
      </c>
      <c r="G139" s="2" t="s">
        <v>31</v>
      </c>
      <c r="H139" s="2" t="s">
        <v>31</v>
      </c>
      <c r="I139" s="2" t="s">
        <v>32</v>
      </c>
      <c r="J139" s="3">
        <v>45315</v>
      </c>
      <c r="K139" s="2" t="s">
        <v>32</v>
      </c>
      <c r="L139" s="3">
        <v>45315</v>
      </c>
      <c r="M139" s="4">
        <v>1145.8720000000001</v>
      </c>
      <c r="N139" s="4">
        <v>1344.9739999999999</v>
      </c>
      <c r="O139" s="4">
        <v>25.21</v>
      </c>
      <c r="P139" s="4">
        <v>155.11513500000001</v>
      </c>
      <c r="Q139" s="4">
        <v>10.858059450000001</v>
      </c>
      <c r="R139" s="2" t="s">
        <v>607</v>
      </c>
      <c r="S139" s="2" t="s">
        <v>607</v>
      </c>
      <c r="T139" s="4">
        <v>0</v>
      </c>
      <c r="U139" s="2" t="s">
        <v>37</v>
      </c>
      <c r="V139" s="5">
        <v>0</v>
      </c>
      <c r="W139" s="5" t="b">
        <f>TRUE()</f>
        <v>1</v>
      </c>
      <c r="X139" s="5" t="b">
        <f>FALSE()</f>
        <v>0</v>
      </c>
      <c r="Y139" s="5">
        <v>18</v>
      </c>
      <c r="Z139" s="5" t="b">
        <f>TRUE()</f>
        <v>1</v>
      </c>
      <c r="AA139" s="5" t="b">
        <f>FALSE()</f>
        <v>0</v>
      </c>
    </row>
    <row r="140" spans="1:27" x14ac:dyDescent="0.35">
      <c r="A140" s="2" t="s">
        <v>608</v>
      </c>
      <c r="B140" s="2" t="s">
        <v>609</v>
      </c>
      <c r="C140" s="2" t="s">
        <v>610</v>
      </c>
      <c r="D140" s="2" t="s">
        <v>154</v>
      </c>
      <c r="E140" s="2" t="s">
        <v>609</v>
      </c>
      <c r="F140" s="2" t="s">
        <v>610</v>
      </c>
      <c r="G140" s="2" t="s">
        <v>31</v>
      </c>
      <c r="H140" s="2" t="s">
        <v>31</v>
      </c>
      <c r="I140" s="2" t="s">
        <v>32</v>
      </c>
      <c r="J140" s="3">
        <v>45314</v>
      </c>
      <c r="K140" s="2" t="s">
        <v>32</v>
      </c>
      <c r="L140" s="3">
        <v>45314</v>
      </c>
      <c r="M140" s="4">
        <v>2270.61</v>
      </c>
      <c r="N140" s="4">
        <v>2510.0239999999999</v>
      </c>
      <c r="O140" s="4">
        <v>25.21</v>
      </c>
      <c r="P140" s="4">
        <v>292.54500000000002</v>
      </c>
      <c r="Q140" s="4">
        <v>20.478149999999999</v>
      </c>
      <c r="R140" s="2" t="s">
        <v>611</v>
      </c>
      <c r="S140" s="2" t="s">
        <v>611</v>
      </c>
      <c r="T140" s="4">
        <v>0</v>
      </c>
      <c r="U140" s="2" t="s">
        <v>154</v>
      </c>
      <c r="V140" s="5">
        <v>0</v>
      </c>
      <c r="W140" s="5" t="b">
        <f>TRUE()</f>
        <v>1</v>
      </c>
      <c r="X140" s="5" t="b">
        <f>FALSE()</f>
        <v>0</v>
      </c>
      <c r="Y140" s="5">
        <v>18</v>
      </c>
      <c r="Z140" s="5" t="b">
        <f>TRUE()</f>
        <v>1</v>
      </c>
      <c r="AA140" s="5" t="b">
        <f>FALSE()</f>
        <v>0</v>
      </c>
    </row>
    <row r="141" spans="1:27" x14ac:dyDescent="0.35">
      <c r="A141" s="2" t="s">
        <v>612</v>
      </c>
      <c r="B141" s="2" t="s">
        <v>613</v>
      </c>
      <c r="C141" s="2" t="s">
        <v>614</v>
      </c>
      <c r="D141" s="2" t="s">
        <v>258</v>
      </c>
      <c r="E141" s="2" t="s">
        <v>613</v>
      </c>
      <c r="F141" s="2" t="s">
        <v>614</v>
      </c>
      <c r="G141" s="2" t="s">
        <v>31</v>
      </c>
      <c r="H141" s="2" t="s">
        <v>31</v>
      </c>
      <c r="I141" s="2" t="s">
        <v>32</v>
      </c>
      <c r="J141" s="3">
        <v>45314</v>
      </c>
      <c r="K141" s="2" t="s">
        <v>32</v>
      </c>
      <c r="L141" s="3">
        <v>45314</v>
      </c>
      <c r="M141" s="4">
        <v>1149.73</v>
      </c>
      <c r="N141" s="4">
        <v>1359.1859999999999</v>
      </c>
      <c r="O141" s="4">
        <v>25.21</v>
      </c>
      <c r="P141" s="4">
        <v>74.94</v>
      </c>
      <c r="Q141" s="4">
        <v>5.2458</v>
      </c>
      <c r="R141" s="2" t="s">
        <v>615</v>
      </c>
      <c r="S141" s="2" t="s">
        <v>615</v>
      </c>
      <c r="T141" s="4">
        <v>0</v>
      </c>
      <c r="U141" s="2" t="s">
        <v>258</v>
      </c>
      <c r="V141" s="5">
        <v>0</v>
      </c>
      <c r="W141" s="5" t="b">
        <f>TRUE()</f>
        <v>1</v>
      </c>
      <c r="X141" s="5" t="b">
        <f>FALSE()</f>
        <v>0</v>
      </c>
      <c r="Y141" s="5">
        <v>8</v>
      </c>
      <c r="Z141" s="5" t="b">
        <f>TRUE()</f>
        <v>1</v>
      </c>
      <c r="AA141" s="5" t="b">
        <f>FALSE()</f>
        <v>0</v>
      </c>
    </row>
    <row r="142" spans="1:27" x14ac:dyDescent="0.35">
      <c r="A142" s="2" t="s">
        <v>616</v>
      </c>
      <c r="B142" s="2" t="s">
        <v>617</v>
      </c>
      <c r="C142" s="2" t="s">
        <v>618</v>
      </c>
      <c r="D142" s="2" t="s">
        <v>363</v>
      </c>
      <c r="E142" s="2" t="s">
        <v>617</v>
      </c>
      <c r="F142" s="2" t="s">
        <v>618</v>
      </c>
      <c r="G142" s="2" t="s">
        <v>31</v>
      </c>
      <c r="H142" s="2" t="s">
        <v>31</v>
      </c>
      <c r="I142" s="2" t="s">
        <v>32</v>
      </c>
      <c r="J142" s="3">
        <v>45310</v>
      </c>
      <c r="K142" s="2" t="s">
        <v>32</v>
      </c>
      <c r="L142" s="3">
        <v>45310</v>
      </c>
      <c r="M142" s="4">
        <v>981.70899999999995</v>
      </c>
      <c r="N142" s="4">
        <v>1164.277</v>
      </c>
      <c r="O142" s="4">
        <v>25.21</v>
      </c>
      <c r="P142" s="4">
        <v>32.97</v>
      </c>
      <c r="Q142" s="4">
        <v>2.3079000000000001</v>
      </c>
      <c r="R142" s="2" t="s">
        <v>619</v>
      </c>
      <c r="S142" s="2" t="s">
        <v>619</v>
      </c>
      <c r="T142" s="4">
        <v>0</v>
      </c>
      <c r="U142" s="2" t="s">
        <v>363</v>
      </c>
      <c r="V142" s="5">
        <v>0</v>
      </c>
      <c r="W142" s="5" t="b">
        <f>TRUE()</f>
        <v>1</v>
      </c>
      <c r="X142" s="5" t="b">
        <f>FALSE()</f>
        <v>0</v>
      </c>
      <c r="Y142" s="5">
        <v>4</v>
      </c>
      <c r="Z142" s="5" t="b">
        <f>TRUE()</f>
        <v>1</v>
      </c>
      <c r="AA142" s="5" t="b">
        <f>FALSE()</f>
        <v>0</v>
      </c>
    </row>
    <row r="143" spans="1:27" x14ac:dyDescent="0.35">
      <c r="A143" s="2" t="s">
        <v>620</v>
      </c>
      <c r="B143" s="2" t="s">
        <v>114</v>
      </c>
      <c r="C143" s="2" t="s">
        <v>115</v>
      </c>
      <c r="D143" s="2" t="s">
        <v>37</v>
      </c>
      <c r="E143" s="2" t="s">
        <v>114</v>
      </c>
      <c r="F143" s="2" t="s">
        <v>115</v>
      </c>
      <c r="G143" s="2" t="s">
        <v>31</v>
      </c>
      <c r="H143" s="2" t="s">
        <v>31</v>
      </c>
      <c r="I143" s="2" t="s">
        <v>32</v>
      </c>
      <c r="J143" s="3">
        <v>45309</v>
      </c>
      <c r="K143" s="2" t="s">
        <v>32</v>
      </c>
      <c r="L143" s="3">
        <v>45309</v>
      </c>
      <c r="M143" s="4">
        <v>453.286</v>
      </c>
      <c r="N143" s="4">
        <v>532.29999999999995</v>
      </c>
      <c r="O143" s="4">
        <v>25.21</v>
      </c>
      <c r="P143" s="4">
        <v>59.251635</v>
      </c>
      <c r="Q143" s="4">
        <v>4.1476144499999998</v>
      </c>
      <c r="R143" s="2" t="s">
        <v>116</v>
      </c>
      <c r="S143" s="2" t="s">
        <v>116</v>
      </c>
      <c r="T143" s="4">
        <v>0</v>
      </c>
      <c r="U143" s="2" t="s">
        <v>37</v>
      </c>
      <c r="V143" s="5">
        <v>0</v>
      </c>
      <c r="W143" s="5" t="b">
        <f>TRUE()</f>
        <v>1</v>
      </c>
      <c r="X143" s="5" t="b">
        <f>FALSE()</f>
        <v>0</v>
      </c>
      <c r="Y143" s="5">
        <v>18</v>
      </c>
      <c r="Z143" s="5" t="b">
        <f>TRUE()</f>
        <v>1</v>
      </c>
      <c r="AA143" s="5" t="b">
        <f>FALSE()</f>
        <v>0</v>
      </c>
    </row>
    <row r="144" spans="1:27" x14ac:dyDescent="0.35">
      <c r="A144" s="2" t="s">
        <v>621</v>
      </c>
      <c r="B144" s="2" t="s">
        <v>622</v>
      </c>
      <c r="C144" s="2" t="s">
        <v>623</v>
      </c>
      <c r="D144" s="2" t="s">
        <v>37</v>
      </c>
      <c r="E144" s="2" t="s">
        <v>622</v>
      </c>
      <c r="F144" s="2" t="s">
        <v>623</v>
      </c>
      <c r="G144" s="2" t="s">
        <v>31</v>
      </c>
      <c r="H144" s="2" t="s">
        <v>31</v>
      </c>
      <c r="I144" s="2" t="s">
        <v>32</v>
      </c>
      <c r="J144" s="3">
        <v>45309</v>
      </c>
      <c r="K144" s="2" t="s">
        <v>32</v>
      </c>
      <c r="L144" s="3">
        <v>45309</v>
      </c>
      <c r="M144" s="4">
        <v>535.875</v>
      </c>
      <c r="N144" s="4">
        <v>632.66999999999996</v>
      </c>
      <c r="O144" s="4">
        <v>25.21</v>
      </c>
      <c r="P144" s="4">
        <v>41.842424999999999</v>
      </c>
      <c r="Q144" s="4">
        <v>2.9289697499999998</v>
      </c>
      <c r="R144" s="2" t="s">
        <v>624</v>
      </c>
      <c r="S144" s="2" t="s">
        <v>624</v>
      </c>
      <c r="T144" s="4">
        <v>0</v>
      </c>
      <c r="U144" s="2" t="s">
        <v>37</v>
      </c>
      <c r="V144" s="5">
        <v>0</v>
      </c>
      <c r="W144" s="5" t="b">
        <f>TRUE()</f>
        <v>1</v>
      </c>
      <c r="X144" s="5" t="b">
        <f>FALSE()</f>
        <v>0</v>
      </c>
      <c r="Y144" s="5">
        <v>10</v>
      </c>
      <c r="Z144" s="5" t="b">
        <f>TRUE()</f>
        <v>1</v>
      </c>
      <c r="AA144" s="5" t="b">
        <f>FALSE()</f>
        <v>0</v>
      </c>
    </row>
    <row r="145" spans="1:27" x14ac:dyDescent="0.35">
      <c r="A145" s="2" t="s">
        <v>625</v>
      </c>
      <c r="B145" s="2" t="s">
        <v>626</v>
      </c>
      <c r="C145" s="2" t="s">
        <v>627</v>
      </c>
      <c r="D145" s="2" t="s">
        <v>154</v>
      </c>
      <c r="E145" s="2" t="s">
        <v>626</v>
      </c>
      <c r="F145" s="2" t="s">
        <v>627</v>
      </c>
      <c r="G145" s="2" t="s">
        <v>31</v>
      </c>
      <c r="H145" s="2" t="s">
        <v>31</v>
      </c>
      <c r="I145" s="2" t="s">
        <v>32</v>
      </c>
      <c r="J145" s="3">
        <v>45308</v>
      </c>
      <c r="K145" s="2" t="s">
        <v>32</v>
      </c>
      <c r="L145" s="3">
        <v>45308</v>
      </c>
      <c r="M145" s="4">
        <v>786.22500000000002</v>
      </c>
      <c r="N145" s="4">
        <v>926.77300000000002</v>
      </c>
      <c r="O145" s="4">
        <v>25.21</v>
      </c>
      <c r="P145" s="4">
        <v>73.62</v>
      </c>
      <c r="Q145" s="4">
        <v>5.1534000000000004</v>
      </c>
      <c r="R145" s="2" t="s">
        <v>628</v>
      </c>
      <c r="S145" s="2" t="s">
        <v>628</v>
      </c>
      <c r="T145" s="4">
        <v>0</v>
      </c>
      <c r="U145" s="2" t="s">
        <v>154</v>
      </c>
      <c r="V145" s="5">
        <v>0</v>
      </c>
      <c r="W145" s="5" t="b">
        <f>TRUE()</f>
        <v>1</v>
      </c>
      <c r="X145" s="5" t="b">
        <f>FALSE()</f>
        <v>0</v>
      </c>
      <c r="Y145" s="5">
        <v>12</v>
      </c>
      <c r="Z145" s="5" t="b">
        <f>TRUE()</f>
        <v>1</v>
      </c>
      <c r="AA145" s="5" t="b">
        <f>FALSE()</f>
        <v>0</v>
      </c>
    </row>
    <row r="146" spans="1:27" x14ac:dyDescent="0.35">
      <c r="A146" s="2" t="s">
        <v>629</v>
      </c>
      <c r="B146" s="2" t="s">
        <v>630</v>
      </c>
      <c r="C146" s="2" t="s">
        <v>631</v>
      </c>
      <c r="D146" s="2" t="s">
        <v>78</v>
      </c>
      <c r="E146" s="2" t="s">
        <v>630</v>
      </c>
      <c r="F146" s="2" t="s">
        <v>632</v>
      </c>
      <c r="G146" s="2" t="s">
        <v>31</v>
      </c>
      <c r="H146" s="2" t="s">
        <v>31</v>
      </c>
      <c r="I146" s="2" t="s">
        <v>32</v>
      </c>
      <c r="J146" s="3">
        <v>45308</v>
      </c>
      <c r="K146" s="2" t="s">
        <v>32</v>
      </c>
      <c r="L146" s="3">
        <v>45353</v>
      </c>
      <c r="M146" s="4">
        <v>2422.5859999999998</v>
      </c>
      <c r="N146" s="4">
        <v>2843.058</v>
      </c>
      <c r="O146" s="4">
        <v>25.21</v>
      </c>
      <c r="P146" s="4">
        <v>331.83</v>
      </c>
      <c r="Q146" s="4">
        <v>23.228100000000001</v>
      </c>
      <c r="R146" s="2" t="s">
        <v>633</v>
      </c>
      <c r="S146" s="2" t="s">
        <v>633</v>
      </c>
      <c r="T146" s="4">
        <v>0</v>
      </c>
      <c r="U146" s="2" t="s">
        <v>78</v>
      </c>
      <c r="V146" s="5">
        <v>0</v>
      </c>
      <c r="W146" s="5" t="b">
        <f>TRUE()</f>
        <v>1</v>
      </c>
      <c r="X146" s="5" t="b">
        <f>FALSE()</f>
        <v>0</v>
      </c>
      <c r="Y146" s="5">
        <v>18</v>
      </c>
      <c r="Z146" s="5" t="b">
        <f>TRUE()</f>
        <v>1</v>
      </c>
      <c r="AA146" s="5" t="b">
        <f>FALSE()</f>
        <v>0</v>
      </c>
    </row>
    <row r="147" spans="1:27" x14ac:dyDescent="0.35">
      <c r="A147" s="2" t="s">
        <v>634</v>
      </c>
      <c r="B147" s="2" t="s">
        <v>635</v>
      </c>
      <c r="C147" s="2" t="s">
        <v>636</v>
      </c>
      <c r="D147" s="2" t="s">
        <v>99</v>
      </c>
      <c r="E147" s="2" t="s">
        <v>635</v>
      </c>
      <c r="F147" s="2" t="s">
        <v>636</v>
      </c>
      <c r="G147" s="2" t="s">
        <v>31</v>
      </c>
      <c r="H147" s="2" t="s">
        <v>31</v>
      </c>
      <c r="I147" s="2" t="s">
        <v>32</v>
      </c>
      <c r="J147" s="3">
        <v>45308</v>
      </c>
      <c r="K147" s="2" t="s">
        <v>32</v>
      </c>
      <c r="L147" s="3">
        <v>45308</v>
      </c>
      <c r="M147" s="4">
        <v>1572.0920000000001</v>
      </c>
      <c r="N147" s="4">
        <v>1845.097</v>
      </c>
      <c r="O147" s="4">
        <v>25.21</v>
      </c>
      <c r="P147" s="4">
        <v>214.10986500000001</v>
      </c>
      <c r="Q147" s="4">
        <v>14.98769055</v>
      </c>
      <c r="R147" s="2" t="s">
        <v>637</v>
      </c>
      <c r="S147" s="2" t="s">
        <v>637</v>
      </c>
      <c r="T147" s="4">
        <v>0</v>
      </c>
      <c r="U147" s="2" t="s">
        <v>99</v>
      </c>
      <c r="V147" s="5">
        <v>0</v>
      </c>
      <c r="W147" s="5" t="b">
        <f>TRUE()</f>
        <v>1</v>
      </c>
      <c r="X147" s="5" t="b">
        <f>FALSE()</f>
        <v>0</v>
      </c>
      <c r="Y147" s="5">
        <v>18</v>
      </c>
      <c r="Z147" s="5" t="b">
        <f>TRUE()</f>
        <v>1</v>
      </c>
      <c r="AA147" s="5" t="b">
        <f>FALSE()</f>
        <v>0</v>
      </c>
    </row>
    <row r="148" spans="1:27" x14ac:dyDescent="0.35">
      <c r="A148" s="2" t="s">
        <v>638</v>
      </c>
      <c r="B148" s="2" t="s">
        <v>639</v>
      </c>
      <c r="C148" s="2" t="s">
        <v>640</v>
      </c>
      <c r="D148" s="2" t="s">
        <v>205</v>
      </c>
      <c r="E148" s="2" t="s">
        <v>639</v>
      </c>
      <c r="F148" s="2" t="s">
        <v>640</v>
      </c>
      <c r="G148" s="2" t="s">
        <v>31</v>
      </c>
      <c r="H148" s="2" t="s">
        <v>31</v>
      </c>
      <c r="I148" s="2" t="s">
        <v>32</v>
      </c>
      <c r="J148" s="3">
        <v>45308</v>
      </c>
      <c r="K148" s="2" t="s">
        <v>32</v>
      </c>
      <c r="L148" s="3">
        <v>45308</v>
      </c>
      <c r="M148" s="4">
        <v>2101.701</v>
      </c>
      <c r="N148" s="4">
        <v>2466.5340000000001</v>
      </c>
      <c r="O148" s="4">
        <v>25.21</v>
      </c>
      <c r="P148" s="4">
        <v>287.41500000000002</v>
      </c>
      <c r="Q148" s="4">
        <v>20.119050000000001</v>
      </c>
      <c r="R148" s="2" t="s">
        <v>641</v>
      </c>
      <c r="S148" s="2" t="s">
        <v>641</v>
      </c>
      <c r="T148" s="4">
        <v>0</v>
      </c>
      <c r="U148" s="2" t="s">
        <v>205</v>
      </c>
      <c r="V148" s="5">
        <v>0</v>
      </c>
      <c r="W148" s="5" t="b">
        <f>TRUE()</f>
        <v>1</v>
      </c>
      <c r="X148" s="5" t="b">
        <f>FALSE()</f>
        <v>0</v>
      </c>
      <c r="Y148" s="5">
        <v>18</v>
      </c>
      <c r="Z148" s="5" t="b">
        <f>TRUE()</f>
        <v>1</v>
      </c>
      <c r="AA148" s="5" t="b">
        <f>FALSE()</f>
        <v>0</v>
      </c>
    </row>
    <row r="149" spans="1:27" x14ac:dyDescent="0.35">
      <c r="A149" s="2" t="s">
        <v>642</v>
      </c>
      <c r="B149" s="2" t="s">
        <v>643</v>
      </c>
      <c r="C149" s="2" t="s">
        <v>644</v>
      </c>
      <c r="D149" s="2" t="s">
        <v>645</v>
      </c>
      <c r="E149" s="2" t="s">
        <v>643</v>
      </c>
      <c r="F149" s="2" t="s">
        <v>644</v>
      </c>
      <c r="G149" s="2" t="s">
        <v>31</v>
      </c>
      <c r="H149" s="2" t="s">
        <v>31</v>
      </c>
      <c r="I149" s="2" t="s">
        <v>32</v>
      </c>
      <c r="J149" s="3">
        <v>45307</v>
      </c>
      <c r="K149" s="2" t="s">
        <v>32</v>
      </c>
      <c r="L149" s="3">
        <v>45307</v>
      </c>
      <c r="M149" s="4">
        <v>1516.489</v>
      </c>
      <c r="N149" s="4">
        <v>1779.8520000000001</v>
      </c>
      <c r="O149" s="4">
        <v>25.21</v>
      </c>
      <c r="P149" s="4">
        <v>206.41351499999999</v>
      </c>
      <c r="Q149" s="4">
        <v>14.44894605</v>
      </c>
      <c r="R149" s="2" t="s">
        <v>646</v>
      </c>
      <c r="S149" s="2" t="s">
        <v>646</v>
      </c>
      <c r="T149" s="4">
        <v>0</v>
      </c>
      <c r="U149" s="2" t="s">
        <v>645</v>
      </c>
      <c r="V149" s="5">
        <v>0</v>
      </c>
      <c r="W149" s="5" t="b">
        <f>TRUE()</f>
        <v>1</v>
      </c>
      <c r="X149" s="5" t="b">
        <f>FALSE()</f>
        <v>0</v>
      </c>
      <c r="Y149" s="5">
        <v>18</v>
      </c>
      <c r="Z149" s="5" t="b">
        <f>TRUE()</f>
        <v>1</v>
      </c>
      <c r="AA149" s="5" t="b">
        <f>FALSE()</f>
        <v>0</v>
      </c>
    </row>
    <row r="150" spans="1:27" x14ac:dyDescent="0.35">
      <c r="A150" s="2" t="s">
        <v>647</v>
      </c>
      <c r="B150" s="2" t="s">
        <v>648</v>
      </c>
      <c r="C150" s="2" t="s">
        <v>649</v>
      </c>
      <c r="D150" s="2" t="s">
        <v>78</v>
      </c>
      <c r="E150" s="2" t="s">
        <v>630</v>
      </c>
      <c r="F150" s="2" t="s">
        <v>632</v>
      </c>
      <c r="G150" s="2" t="s">
        <v>31</v>
      </c>
      <c r="H150" s="2" t="s">
        <v>650</v>
      </c>
      <c r="I150" s="2" t="s">
        <v>32</v>
      </c>
      <c r="J150" s="3">
        <v>45307</v>
      </c>
      <c r="K150" s="2" t="s">
        <v>651</v>
      </c>
      <c r="L150" s="3">
        <v>45352</v>
      </c>
      <c r="M150" s="4">
        <v>2422.5859999999998</v>
      </c>
      <c r="N150" s="4">
        <v>2843.058</v>
      </c>
      <c r="O150" s="4">
        <v>25.21</v>
      </c>
      <c r="P150" s="4">
        <v>331.83</v>
      </c>
      <c r="Q150" s="4">
        <v>23.228100000000001</v>
      </c>
      <c r="R150" s="2" t="s">
        <v>633</v>
      </c>
      <c r="S150" s="2" t="s">
        <v>633</v>
      </c>
      <c r="T150" s="4">
        <v>0</v>
      </c>
      <c r="U150" s="2" t="s">
        <v>78</v>
      </c>
      <c r="V150" s="5">
        <v>0</v>
      </c>
      <c r="W150" s="5" t="b">
        <f>TRUE()</f>
        <v>1</v>
      </c>
      <c r="X150" s="5" t="b">
        <f>FALSE()</f>
        <v>0</v>
      </c>
      <c r="Y150" s="5">
        <v>18</v>
      </c>
      <c r="Z150" s="5" t="b">
        <f>FALSE()</f>
        <v>0</v>
      </c>
      <c r="AA150" s="5" t="b">
        <f>FALSE()</f>
        <v>0</v>
      </c>
    </row>
    <row r="151" spans="1:27" x14ac:dyDescent="0.35">
      <c r="A151" s="2" t="s">
        <v>652</v>
      </c>
      <c r="B151" s="2" t="s">
        <v>653</v>
      </c>
      <c r="C151" s="2" t="s">
        <v>654</v>
      </c>
      <c r="D151" s="2" t="s">
        <v>418</v>
      </c>
      <c r="E151" s="2" t="s">
        <v>653</v>
      </c>
      <c r="F151" s="2" t="s">
        <v>654</v>
      </c>
      <c r="G151" s="2" t="s">
        <v>31</v>
      </c>
      <c r="H151" s="2" t="s">
        <v>31</v>
      </c>
      <c r="I151" s="2" t="s">
        <v>32</v>
      </c>
      <c r="J151" s="3">
        <v>45307</v>
      </c>
      <c r="K151" s="2" t="s">
        <v>32</v>
      </c>
      <c r="L151" s="3">
        <v>45307</v>
      </c>
      <c r="M151" s="4">
        <v>2460.6239999999998</v>
      </c>
      <c r="N151" s="4">
        <v>2887.692</v>
      </c>
      <c r="O151" s="4">
        <v>25.21</v>
      </c>
      <c r="P151" s="4">
        <v>337.09500000000003</v>
      </c>
      <c r="Q151" s="4">
        <v>23.59665</v>
      </c>
      <c r="R151" s="2" t="s">
        <v>655</v>
      </c>
      <c r="S151" s="2" t="s">
        <v>655</v>
      </c>
      <c r="T151" s="4">
        <v>0</v>
      </c>
      <c r="U151" s="2" t="s">
        <v>418</v>
      </c>
      <c r="V151" s="5">
        <v>0</v>
      </c>
      <c r="W151" s="5" t="b">
        <f>TRUE()</f>
        <v>1</v>
      </c>
      <c r="X151" s="5" t="b">
        <f>FALSE()</f>
        <v>0</v>
      </c>
      <c r="Y151" s="5">
        <v>18</v>
      </c>
      <c r="Z151" s="5" t="b">
        <f>TRUE()</f>
        <v>1</v>
      </c>
      <c r="AA151" s="5" t="b">
        <f>FALSE()</f>
        <v>0</v>
      </c>
    </row>
    <row r="152" spans="1:27" x14ac:dyDescent="0.35">
      <c r="A152" s="2" t="s">
        <v>656</v>
      </c>
      <c r="B152" s="2" t="s">
        <v>657</v>
      </c>
      <c r="C152" s="2" t="s">
        <v>658</v>
      </c>
      <c r="D152" s="2" t="s">
        <v>258</v>
      </c>
      <c r="E152" s="2" t="s">
        <v>657</v>
      </c>
      <c r="F152" s="2" t="s">
        <v>658</v>
      </c>
      <c r="G152" s="2" t="s">
        <v>31</v>
      </c>
      <c r="H152" s="2" t="s">
        <v>31</v>
      </c>
      <c r="I152" s="2" t="s">
        <v>32</v>
      </c>
      <c r="J152" s="3">
        <v>45303</v>
      </c>
      <c r="K152" s="2" t="s">
        <v>32</v>
      </c>
      <c r="L152" s="3">
        <v>45303</v>
      </c>
      <c r="M152" s="4">
        <v>590.94000000000005</v>
      </c>
      <c r="N152" s="4">
        <v>699.76800000000003</v>
      </c>
      <c r="O152" s="4">
        <v>25.21</v>
      </c>
      <c r="P152" s="4">
        <v>28.754999999999999</v>
      </c>
      <c r="Q152" s="4">
        <v>2.0128499999999998</v>
      </c>
      <c r="R152" s="2" t="s">
        <v>659</v>
      </c>
      <c r="S152" s="2" t="s">
        <v>659</v>
      </c>
      <c r="T152" s="4">
        <v>0</v>
      </c>
      <c r="U152" s="2" t="s">
        <v>258</v>
      </c>
      <c r="V152" s="5">
        <v>0</v>
      </c>
      <c r="W152" s="5" t="b">
        <f>TRUE()</f>
        <v>1</v>
      </c>
      <c r="X152" s="5" t="b">
        <f>FALSE()</f>
        <v>0</v>
      </c>
      <c r="Y152" s="5">
        <v>6</v>
      </c>
      <c r="Z152" s="5" t="b">
        <f>TRUE()</f>
        <v>1</v>
      </c>
      <c r="AA152" s="5" t="b">
        <f>FALSE()</f>
        <v>0</v>
      </c>
    </row>
    <row r="153" spans="1:27" x14ac:dyDescent="0.35">
      <c r="A153" s="2" t="s">
        <v>660</v>
      </c>
      <c r="B153" s="2" t="s">
        <v>648</v>
      </c>
      <c r="C153" s="2" t="s">
        <v>649</v>
      </c>
      <c r="D153" s="2" t="s">
        <v>418</v>
      </c>
      <c r="E153" s="2" t="s">
        <v>653</v>
      </c>
      <c r="F153" s="2" t="s">
        <v>654</v>
      </c>
      <c r="G153" s="2" t="s">
        <v>31</v>
      </c>
      <c r="H153" s="2" t="s">
        <v>650</v>
      </c>
      <c r="I153" s="2" t="s">
        <v>32</v>
      </c>
      <c r="J153" s="3">
        <v>45302</v>
      </c>
      <c r="K153" s="2" t="s">
        <v>651</v>
      </c>
      <c r="L153" s="3">
        <v>45347</v>
      </c>
      <c r="M153" s="4">
        <v>2460.6239999999998</v>
      </c>
      <c r="N153" s="4">
        <v>2887.692</v>
      </c>
      <c r="O153" s="4">
        <v>25.21</v>
      </c>
      <c r="P153" s="4">
        <v>337.09500000000003</v>
      </c>
      <c r="Q153" s="4">
        <v>23.59665</v>
      </c>
      <c r="R153" s="2" t="s">
        <v>655</v>
      </c>
      <c r="S153" s="2" t="s">
        <v>655</v>
      </c>
      <c r="T153" s="4">
        <v>0</v>
      </c>
      <c r="U153" s="2" t="s">
        <v>418</v>
      </c>
      <c r="V153" s="5">
        <v>0</v>
      </c>
      <c r="W153" s="5" t="b">
        <f>TRUE()</f>
        <v>1</v>
      </c>
      <c r="X153" s="5" t="b">
        <f>FALSE()</f>
        <v>0</v>
      </c>
      <c r="Y153" s="5">
        <v>18</v>
      </c>
      <c r="Z153" s="5" t="b">
        <f>TRUE()</f>
        <v>1</v>
      </c>
      <c r="AA153" s="5" t="b">
        <f>FALSE()</f>
        <v>0</v>
      </c>
    </row>
    <row r="154" spans="1:27" x14ac:dyDescent="0.35">
      <c r="A154" s="2" t="s">
        <v>661</v>
      </c>
      <c r="B154" s="2" t="s">
        <v>662</v>
      </c>
      <c r="C154" s="2" t="s">
        <v>663</v>
      </c>
      <c r="D154" s="2" t="s">
        <v>418</v>
      </c>
      <c r="E154" s="2" t="s">
        <v>662</v>
      </c>
      <c r="F154" s="2" t="s">
        <v>663</v>
      </c>
      <c r="G154" s="2" t="s">
        <v>31</v>
      </c>
      <c r="H154" s="2" t="s">
        <v>31</v>
      </c>
      <c r="I154" s="2" t="s">
        <v>32</v>
      </c>
      <c r="J154" s="3">
        <v>45301</v>
      </c>
      <c r="K154" s="2" t="s">
        <v>32</v>
      </c>
      <c r="L154" s="3">
        <v>45301</v>
      </c>
      <c r="M154" s="4">
        <v>1925.165</v>
      </c>
      <c r="N154" s="4">
        <v>2259.3890000000001</v>
      </c>
      <c r="O154" s="4">
        <v>25.21</v>
      </c>
      <c r="P154" s="4">
        <v>262.98</v>
      </c>
      <c r="Q154" s="4">
        <v>18.4086</v>
      </c>
      <c r="R154" s="2" t="s">
        <v>664</v>
      </c>
      <c r="S154" s="2" t="s">
        <v>664</v>
      </c>
      <c r="T154" s="4">
        <v>0</v>
      </c>
      <c r="U154" s="2" t="s">
        <v>418</v>
      </c>
      <c r="V154" s="5">
        <v>0</v>
      </c>
      <c r="W154" s="5" t="b">
        <f>TRUE()</f>
        <v>1</v>
      </c>
      <c r="X154" s="5" t="b">
        <f>FALSE()</f>
        <v>0</v>
      </c>
      <c r="Y154" s="5">
        <v>18</v>
      </c>
      <c r="Z154" s="5" t="b">
        <f>TRUE()</f>
        <v>1</v>
      </c>
      <c r="AA154" s="5" t="b">
        <f>FALSE()</f>
        <v>0</v>
      </c>
    </row>
    <row r="155" spans="1:27" x14ac:dyDescent="0.35">
      <c r="A155" s="2" t="s">
        <v>665</v>
      </c>
      <c r="B155" s="2" t="s">
        <v>666</v>
      </c>
      <c r="C155" s="2" t="s">
        <v>667</v>
      </c>
      <c r="D155" s="2" t="s">
        <v>154</v>
      </c>
      <c r="E155" s="2" t="s">
        <v>666</v>
      </c>
      <c r="F155" s="2" t="s">
        <v>667</v>
      </c>
      <c r="G155" s="2" t="s">
        <v>31</v>
      </c>
      <c r="H155" s="2" t="s">
        <v>31</v>
      </c>
      <c r="I155" s="2" t="s">
        <v>32</v>
      </c>
      <c r="J155" s="3">
        <v>45299</v>
      </c>
      <c r="K155" s="2" t="s">
        <v>32</v>
      </c>
      <c r="L155" s="3">
        <v>45299</v>
      </c>
      <c r="M155" s="4">
        <v>1877.373</v>
      </c>
      <c r="N155" s="4">
        <v>2203.3110000000001</v>
      </c>
      <c r="O155" s="4">
        <v>25.21</v>
      </c>
      <c r="P155" s="4">
        <v>256.36500000000001</v>
      </c>
      <c r="Q155" s="4">
        <v>17.945550000000001</v>
      </c>
      <c r="R155" s="2" t="s">
        <v>668</v>
      </c>
      <c r="S155" s="2" t="s">
        <v>668</v>
      </c>
      <c r="T155" s="4">
        <v>0</v>
      </c>
      <c r="U155" s="2" t="s">
        <v>154</v>
      </c>
      <c r="V155" s="5">
        <v>0</v>
      </c>
      <c r="W155" s="5" t="b">
        <f>TRUE()</f>
        <v>1</v>
      </c>
      <c r="X155" s="5" t="b">
        <f>FALSE()</f>
        <v>0</v>
      </c>
      <c r="Y155" s="5">
        <v>18</v>
      </c>
      <c r="Z155" s="5" t="b">
        <f>TRUE()</f>
        <v>1</v>
      </c>
      <c r="AA155" s="5" t="b">
        <f>FALSE()</f>
        <v>0</v>
      </c>
    </row>
    <row r="156" spans="1:27" x14ac:dyDescent="0.35">
      <c r="A156" s="2" t="s">
        <v>669</v>
      </c>
      <c r="B156" s="2" t="s">
        <v>670</v>
      </c>
      <c r="C156" s="2" t="s">
        <v>671</v>
      </c>
      <c r="D156" s="2" t="s">
        <v>30</v>
      </c>
      <c r="E156" s="2" t="s">
        <v>670</v>
      </c>
      <c r="F156" s="2" t="s">
        <v>671</v>
      </c>
      <c r="G156" s="2" t="s">
        <v>31</v>
      </c>
      <c r="H156" s="2" t="s">
        <v>31</v>
      </c>
      <c r="I156" s="2" t="s">
        <v>32</v>
      </c>
      <c r="J156" s="3">
        <v>45299</v>
      </c>
      <c r="K156" s="2" t="s">
        <v>32</v>
      </c>
      <c r="L156" s="3">
        <v>45299</v>
      </c>
      <c r="M156" s="4">
        <v>396.41399999999999</v>
      </c>
      <c r="N156" s="4">
        <v>467.42399999999998</v>
      </c>
      <c r="O156" s="4">
        <v>25.21</v>
      </c>
      <c r="P156" s="4">
        <v>35.909999999999997</v>
      </c>
      <c r="Q156" s="4">
        <v>2.5137</v>
      </c>
      <c r="R156" s="2" t="s">
        <v>672</v>
      </c>
      <c r="S156" s="2" t="s">
        <v>672</v>
      </c>
      <c r="T156" s="4">
        <v>0</v>
      </c>
      <c r="U156" s="2" t="s">
        <v>30</v>
      </c>
      <c r="V156" s="5">
        <v>0</v>
      </c>
      <c r="W156" s="5" t="b">
        <f>TRUE()</f>
        <v>1</v>
      </c>
      <c r="X156" s="5" t="b">
        <f>FALSE()</f>
        <v>0</v>
      </c>
      <c r="Y156" s="5">
        <v>12</v>
      </c>
      <c r="Z156" s="5" t="b">
        <f>TRUE()</f>
        <v>1</v>
      </c>
      <c r="AA156" s="5" t="b">
        <f>FALSE()</f>
        <v>0</v>
      </c>
    </row>
    <row r="157" spans="1:27" x14ac:dyDescent="0.35">
      <c r="A157" s="2" t="s">
        <v>673</v>
      </c>
      <c r="B157" s="2" t="s">
        <v>674</v>
      </c>
      <c r="C157" s="2" t="s">
        <v>675</v>
      </c>
      <c r="D157" s="2" t="s">
        <v>78</v>
      </c>
      <c r="E157" s="2" t="s">
        <v>674</v>
      </c>
      <c r="F157" s="2" t="s">
        <v>675</v>
      </c>
      <c r="G157" s="2" t="s">
        <v>31</v>
      </c>
      <c r="H157" s="2" t="s">
        <v>31</v>
      </c>
      <c r="I157" s="2" t="s">
        <v>32</v>
      </c>
      <c r="J157" s="3">
        <v>45293</v>
      </c>
      <c r="K157" s="2" t="s">
        <v>32</v>
      </c>
      <c r="L157" s="3">
        <v>45293</v>
      </c>
      <c r="M157" s="4">
        <v>1682.306</v>
      </c>
      <c r="N157" s="4">
        <v>1974.421</v>
      </c>
      <c r="O157" s="4">
        <v>25.21</v>
      </c>
      <c r="P157" s="4">
        <v>229.36500000000001</v>
      </c>
      <c r="Q157" s="4">
        <v>16.05555</v>
      </c>
      <c r="R157" s="2" t="s">
        <v>676</v>
      </c>
      <c r="S157" s="2" t="s">
        <v>676</v>
      </c>
      <c r="T157" s="4">
        <v>0</v>
      </c>
      <c r="U157" s="2" t="s">
        <v>78</v>
      </c>
      <c r="V157" s="5">
        <v>0</v>
      </c>
      <c r="W157" s="5" t="b">
        <f>TRUE()</f>
        <v>1</v>
      </c>
      <c r="X157" s="5" t="b">
        <f>FALSE()</f>
        <v>0</v>
      </c>
      <c r="Y157" s="5">
        <v>18</v>
      </c>
      <c r="Z157" s="5" t="b">
        <f>TRUE()</f>
        <v>1</v>
      </c>
      <c r="AA157" s="5" t="b">
        <f>FALSE()</f>
        <v>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Factures ventes enregistrées VC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Hamadi Chkondali</dc:creator>
  <cp:lastModifiedBy>Hamadi Chkondali</cp:lastModifiedBy>
  <dcterms:created xsi:type="dcterms:W3CDTF">2026-01-05T09:17:20Z</dcterms:created>
  <dcterms:modified xsi:type="dcterms:W3CDTF">2026-01-05T09:17:20Z</dcterms:modified>
</cp:coreProperties>
</file>