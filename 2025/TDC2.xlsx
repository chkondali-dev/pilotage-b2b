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E4605202-A8EF-4C66-AF1D-7027B079DB12}" xr6:coauthVersionLast="47" xr6:coauthVersionMax="47" xr10:uidLastSave="{00000000-0000-0000-0000-000000000000}"/>
  <bookViews>
    <workbookView xWindow="28680" yWindow="-120" windowWidth="29040" windowHeight="15720" xr2:uid="{3CA17A96-DE61-4944-BF03-FD0F093E49AD}"/>
  </bookViews>
  <sheets>
    <sheet name="convention en cou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76" i="1" l="1"/>
  <c r="Y76" i="1"/>
  <c r="X76" i="1"/>
  <c r="W76" i="1"/>
  <c r="V76" i="1"/>
  <c r="S76" i="1"/>
  <c r="Z75" i="1"/>
  <c r="Y75" i="1"/>
  <c r="X75" i="1"/>
  <c r="W75" i="1"/>
  <c r="V75" i="1"/>
  <c r="S75" i="1"/>
  <c r="Z74" i="1"/>
  <c r="Y74" i="1"/>
  <c r="X74" i="1"/>
  <c r="W74" i="1"/>
  <c r="V74" i="1"/>
  <c r="S74" i="1"/>
  <c r="Z73" i="1"/>
  <c r="Y73" i="1"/>
  <c r="X73" i="1"/>
  <c r="W73" i="1"/>
  <c r="V73" i="1"/>
  <c r="S73" i="1"/>
  <c r="Z72" i="1"/>
  <c r="Y72" i="1"/>
  <c r="X72" i="1"/>
  <c r="W72" i="1"/>
  <c r="V72" i="1"/>
  <c r="S72" i="1"/>
  <c r="Z71" i="1"/>
  <c r="Y71" i="1"/>
  <c r="X71" i="1"/>
  <c r="W71" i="1"/>
  <c r="V71" i="1"/>
  <c r="S71" i="1"/>
  <c r="Z70" i="1"/>
  <c r="Y70" i="1"/>
  <c r="X70" i="1"/>
  <c r="W70" i="1"/>
  <c r="V70" i="1"/>
  <c r="S70" i="1"/>
  <c r="Z69" i="1"/>
  <c r="Y69" i="1"/>
  <c r="X69" i="1"/>
  <c r="W69" i="1"/>
  <c r="V69" i="1"/>
  <c r="S69" i="1"/>
  <c r="Z68" i="1"/>
  <c r="Y68" i="1"/>
  <c r="X68" i="1"/>
  <c r="W68" i="1"/>
  <c r="V68" i="1"/>
  <c r="S68" i="1"/>
  <c r="Z67" i="1"/>
  <c r="Y67" i="1"/>
  <c r="X67" i="1"/>
  <c r="W67" i="1"/>
  <c r="V67" i="1"/>
  <c r="S67" i="1"/>
  <c r="Z66" i="1"/>
  <c r="Y66" i="1"/>
  <c r="X66" i="1"/>
  <c r="W66" i="1"/>
  <c r="V66" i="1"/>
  <c r="S66" i="1"/>
  <c r="Z65" i="1"/>
  <c r="Y65" i="1"/>
  <c r="X65" i="1"/>
  <c r="W65" i="1"/>
  <c r="V65" i="1"/>
  <c r="S65" i="1"/>
  <c r="Z64" i="1"/>
  <c r="Y64" i="1"/>
  <c r="X64" i="1"/>
  <c r="W64" i="1"/>
  <c r="V64" i="1"/>
  <c r="S64" i="1"/>
  <c r="Z63" i="1"/>
  <c r="Y63" i="1"/>
  <c r="X63" i="1"/>
  <c r="W63" i="1"/>
  <c r="V63" i="1"/>
  <c r="S63" i="1"/>
  <c r="Z62" i="1"/>
  <c r="Y62" i="1"/>
  <c r="X62" i="1"/>
  <c r="W62" i="1"/>
  <c r="V62" i="1"/>
  <c r="S62" i="1"/>
  <c r="Z61" i="1"/>
  <c r="Y61" i="1"/>
  <c r="X61" i="1"/>
  <c r="W61" i="1"/>
  <c r="V61" i="1"/>
  <c r="S61" i="1"/>
  <c r="Z60" i="1"/>
  <c r="Y60" i="1"/>
  <c r="X60" i="1"/>
  <c r="W60" i="1"/>
  <c r="V60" i="1"/>
  <c r="S60" i="1"/>
  <c r="Z59" i="1"/>
  <c r="Y59" i="1"/>
  <c r="X59" i="1"/>
  <c r="W59" i="1"/>
  <c r="V59" i="1"/>
  <c r="S59" i="1"/>
  <c r="Z58" i="1"/>
  <c r="Y58" i="1"/>
  <c r="X58" i="1"/>
  <c r="W58" i="1"/>
  <c r="V58" i="1"/>
  <c r="S58" i="1"/>
  <c r="Z57" i="1"/>
  <c r="Y57" i="1"/>
  <c r="X57" i="1"/>
  <c r="W57" i="1"/>
  <c r="V57" i="1"/>
  <c r="S57" i="1"/>
  <c r="Z56" i="1"/>
  <c r="Y56" i="1"/>
  <c r="X56" i="1"/>
  <c r="W56" i="1"/>
  <c r="V56" i="1"/>
  <c r="S56" i="1"/>
  <c r="Z55" i="1"/>
  <c r="Y55" i="1"/>
  <c r="X55" i="1"/>
  <c r="W55" i="1"/>
  <c r="V55" i="1"/>
  <c r="S55" i="1"/>
  <c r="Z54" i="1"/>
  <c r="Y54" i="1"/>
  <c r="X54" i="1"/>
  <c r="W54" i="1"/>
  <c r="V54" i="1"/>
  <c r="S54" i="1"/>
  <c r="Z53" i="1"/>
  <c r="Y53" i="1"/>
  <c r="X53" i="1"/>
  <c r="W53" i="1"/>
  <c r="V53" i="1"/>
  <c r="S53" i="1"/>
  <c r="Z52" i="1"/>
  <c r="Y52" i="1"/>
  <c r="X52" i="1"/>
  <c r="W52" i="1"/>
  <c r="V52" i="1"/>
  <c r="S52" i="1"/>
  <c r="Z51" i="1"/>
  <c r="Y51" i="1"/>
  <c r="X51" i="1"/>
  <c r="W51" i="1"/>
  <c r="V51" i="1"/>
  <c r="S51" i="1"/>
  <c r="Z50" i="1"/>
  <c r="Y50" i="1"/>
  <c r="X50" i="1"/>
  <c r="W50" i="1"/>
  <c r="V50" i="1"/>
  <c r="S50" i="1"/>
  <c r="Z49" i="1"/>
  <c r="Y49" i="1"/>
  <c r="X49" i="1"/>
  <c r="W49" i="1"/>
  <c r="V49" i="1"/>
  <c r="S49" i="1"/>
  <c r="Z48" i="1"/>
  <c r="Y48" i="1"/>
  <c r="X48" i="1"/>
  <c r="W48" i="1"/>
  <c r="V48" i="1"/>
  <c r="S48" i="1"/>
  <c r="Z47" i="1"/>
  <c r="Y47" i="1"/>
  <c r="X47" i="1"/>
  <c r="W47" i="1"/>
  <c r="V47" i="1"/>
  <c r="S47" i="1"/>
  <c r="Z46" i="1"/>
  <c r="Y46" i="1"/>
  <c r="X46" i="1"/>
  <c r="W46" i="1"/>
  <c r="V46" i="1"/>
  <c r="S46" i="1"/>
  <c r="Z45" i="1"/>
  <c r="Y45" i="1"/>
  <c r="X45" i="1"/>
  <c r="W45" i="1"/>
  <c r="V45" i="1"/>
  <c r="S45" i="1"/>
  <c r="Z44" i="1"/>
  <c r="Y44" i="1"/>
  <c r="X44" i="1"/>
  <c r="W44" i="1"/>
  <c r="V44" i="1"/>
  <c r="S44" i="1"/>
  <c r="Z43" i="1"/>
  <c r="Y43" i="1"/>
  <c r="X43" i="1"/>
  <c r="W43" i="1"/>
  <c r="V43" i="1"/>
  <c r="S43" i="1"/>
  <c r="Z42" i="1"/>
  <c r="Y42" i="1"/>
  <c r="X42" i="1"/>
  <c r="W42" i="1"/>
  <c r="V42" i="1"/>
  <c r="S42" i="1"/>
  <c r="Z41" i="1"/>
  <c r="Y41" i="1"/>
  <c r="X41" i="1"/>
  <c r="W41" i="1"/>
  <c r="V41" i="1"/>
  <c r="S41" i="1"/>
  <c r="Z40" i="1"/>
  <c r="Y40" i="1"/>
  <c r="X40" i="1"/>
  <c r="W40" i="1"/>
  <c r="V40" i="1"/>
  <c r="S40" i="1"/>
  <c r="Z39" i="1"/>
  <c r="Y39" i="1"/>
  <c r="X39" i="1"/>
  <c r="W39" i="1"/>
  <c r="V39" i="1"/>
  <c r="S39" i="1"/>
  <c r="Z38" i="1"/>
  <c r="Y38" i="1"/>
  <c r="X38" i="1"/>
  <c r="W38" i="1"/>
  <c r="V38" i="1"/>
  <c r="S38" i="1"/>
  <c r="Z37" i="1"/>
  <c r="Y37" i="1"/>
  <c r="X37" i="1"/>
  <c r="W37" i="1"/>
  <c r="V37" i="1"/>
  <c r="S37" i="1"/>
  <c r="Z36" i="1"/>
  <c r="Y36" i="1"/>
  <c r="X36" i="1"/>
  <c r="W36" i="1"/>
  <c r="V36" i="1"/>
  <c r="S36" i="1"/>
  <c r="Z35" i="1"/>
  <c r="Y35" i="1"/>
  <c r="X35" i="1"/>
  <c r="W35" i="1"/>
  <c r="V35" i="1"/>
  <c r="S35" i="1"/>
  <c r="Z34" i="1"/>
  <c r="Y34" i="1"/>
  <c r="X34" i="1"/>
  <c r="W34" i="1"/>
  <c r="V34" i="1"/>
  <c r="S34" i="1"/>
  <c r="Z33" i="1"/>
  <c r="Y33" i="1"/>
  <c r="X33" i="1"/>
  <c r="W33" i="1"/>
  <c r="V33" i="1"/>
  <c r="S33" i="1"/>
  <c r="Z32" i="1"/>
  <c r="Y32" i="1"/>
  <c r="X32" i="1"/>
  <c r="W32" i="1"/>
  <c r="V32" i="1"/>
  <c r="S32" i="1"/>
  <c r="Z31" i="1"/>
  <c r="Y31" i="1"/>
  <c r="X31" i="1"/>
  <c r="W31" i="1"/>
  <c r="V31" i="1"/>
  <c r="S31" i="1"/>
  <c r="Z30" i="1"/>
  <c r="Y30" i="1"/>
  <c r="X30" i="1"/>
  <c r="W30" i="1"/>
  <c r="V30" i="1"/>
  <c r="S30" i="1"/>
  <c r="Z29" i="1"/>
  <c r="Y29" i="1"/>
  <c r="X29" i="1"/>
  <c r="W29" i="1"/>
  <c r="V29" i="1"/>
  <c r="S29" i="1"/>
  <c r="Z28" i="1"/>
  <c r="Y28" i="1"/>
  <c r="X28" i="1"/>
  <c r="W28" i="1"/>
  <c r="V28" i="1"/>
  <c r="S28" i="1"/>
  <c r="Z27" i="1"/>
  <c r="Y27" i="1"/>
  <c r="X27" i="1"/>
  <c r="W27" i="1"/>
  <c r="V27" i="1"/>
  <c r="S27" i="1"/>
  <c r="Z26" i="1"/>
  <c r="Y26" i="1"/>
  <c r="X26" i="1"/>
  <c r="W26" i="1"/>
  <c r="V26" i="1"/>
  <c r="S26" i="1"/>
  <c r="Z25" i="1"/>
  <c r="Y25" i="1"/>
  <c r="X25" i="1"/>
  <c r="W25" i="1"/>
  <c r="V25" i="1"/>
  <c r="S25" i="1"/>
  <c r="Z24" i="1"/>
  <c r="Y24" i="1"/>
  <c r="X24" i="1"/>
  <c r="W24" i="1"/>
  <c r="V24" i="1"/>
  <c r="S24" i="1"/>
  <c r="Z23" i="1"/>
  <c r="Y23" i="1"/>
  <c r="X23" i="1"/>
  <c r="W23" i="1"/>
  <c r="V23" i="1"/>
  <c r="S23" i="1"/>
  <c r="Z22" i="1"/>
  <c r="Y22" i="1"/>
  <c r="X22" i="1"/>
  <c r="W22" i="1"/>
  <c r="V22" i="1"/>
  <c r="S22" i="1"/>
  <c r="Z21" i="1"/>
  <c r="Y21" i="1"/>
  <c r="X21" i="1"/>
  <c r="W21" i="1"/>
  <c r="V21" i="1"/>
  <c r="S21" i="1"/>
  <c r="Z20" i="1"/>
  <c r="Y20" i="1"/>
  <c r="X20" i="1"/>
  <c r="W20" i="1"/>
  <c r="V20" i="1"/>
  <c r="S20" i="1"/>
  <c r="Z19" i="1"/>
  <c r="Y19" i="1"/>
  <c r="X19" i="1"/>
  <c r="W19" i="1"/>
  <c r="V19" i="1"/>
  <c r="S19" i="1"/>
  <c r="Z18" i="1"/>
  <c r="Y18" i="1"/>
  <c r="X18" i="1"/>
  <c r="W18" i="1"/>
  <c r="V18" i="1"/>
  <c r="S18" i="1"/>
  <c r="Z17" i="1"/>
  <c r="Y17" i="1"/>
  <c r="X17" i="1"/>
  <c r="W17" i="1"/>
  <c r="V17" i="1"/>
  <c r="S17" i="1"/>
  <c r="Z16" i="1"/>
  <c r="Y16" i="1"/>
  <c r="X16" i="1"/>
  <c r="W16" i="1"/>
  <c r="V16" i="1"/>
  <c r="S16" i="1"/>
  <c r="Z15" i="1"/>
  <c r="Y15" i="1"/>
  <c r="X15" i="1"/>
  <c r="W15" i="1"/>
  <c r="V15" i="1"/>
  <c r="S15" i="1"/>
  <c r="Z14" i="1"/>
  <c r="Y14" i="1"/>
  <c r="X14" i="1"/>
  <c r="W14" i="1"/>
  <c r="V14" i="1"/>
  <c r="S14" i="1"/>
</calcChain>
</file>

<file path=xl/sharedStrings.xml><?xml version="1.0" encoding="utf-8"?>
<sst xmlns="http://schemas.openxmlformats.org/spreadsheetml/2006/main" count="448" uniqueCount="306">
  <si>
    <t xml:space="preserve"> </t>
  </si>
  <si>
    <t>Colonne1</t>
  </si>
  <si>
    <t>conventions en cours</t>
  </si>
  <si>
    <t>Nbr d'effectifs</t>
  </si>
  <si>
    <t>coordonnées</t>
  </si>
  <si>
    <t>contacts</t>
  </si>
  <si>
    <t>Commentaires</t>
  </si>
  <si>
    <t>EMAIL</t>
  </si>
  <si>
    <t>RANKING</t>
  </si>
  <si>
    <t>prise de contact</t>
  </si>
  <si>
    <t>date prise de contact</t>
  </si>
  <si>
    <t>validation client</t>
  </si>
  <si>
    <t>date validation client</t>
  </si>
  <si>
    <t>juridique</t>
  </si>
  <si>
    <t>date juridique</t>
  </si>
  <si>
    <t>finance</t>
  </si>
  <si>
    <t>date fianance</t>
  </si>
  <si>
    <t xml:space="preserve">signature </t>
  </si>
  <si>
    <t xml:space="preserve">date signature </t>
  </si>
  <si>
    <t>AVANCEMENT2</t>
  </si>
  <si>
    <t>prospection</t>
  </si>
  <si>
    <t>COMMENTAIRE</t>
  </si>
  <si>
    <t>Colonne2</t>
  </si>
  <si>
    <t>Colonne3</t>
  </si>
  <si>
    <t>Colonne4</t>
  </si>
  <si>
    <t>Colonne5</t>
  </si>
  <si>
    <t>Colonne6</t>
  </si>
  <si>
    <t>Privé ou étathique</t>
  </si>
  <si>
    <t>Titualire</t>
  </si>
  <si>
    <t xml:space="preserve">Niveau salaire </t>
  </si>
  <si>
    <t>Mode de paiement</t>
  </si>
  <si>
    <t xml:space="preserve">Taux d'intérèt </t>
  </si>
  <si>
    <t>Ristourne</t>
  </si>
  <si>
    <t>Avantages supplémentaires</t>
  </si>
  <si>
    <t>état</t>
  </si>
  <si>
    <t>Commentaire fathi</t>
  </si>
  <si>
    <t>TIS CIRCUITS</t>
  </si>
  <si>
    <t xml:space="preserve">Ahlem Ajmi </t>
  </si>
  <si>
    <t>demande d'organiser une réunion à ben Arous</t>
  </si>
  <si>
    <t>ahlem.ajmi@allcircuits.com</t>
  </si>
  <si>
    <t>🌟🌟🌟</t>
  </si>
  <si>
    <t>convention encours</t>
  </si>
  <si>
    <t xml:space="preserve">deal cloturer/ gratuité envoyer </t>
  </si>
  <si>
    <t>prive</t>
  </si>
  <si>
    <t>contacté</t>
  </si>
  <si>
    <t>L'amicale de Vitalait</t>
  </si>
  <si>
    <t>Nizar</t>
  </si>
  <si>
    <t>en attente de confirmation d'une réunion</t>
  </si>
  <si>
    <t>Sellami.KACEM@vitalait.net</t>
  </si>
  <si>
    <t>nvx prospect</t>
  </si>
  <si>
    <t>_x000D_
[23/06/2025 16:21] relance fathi_x000D_
[03/07/2025 10:55] suite a la reunion avec fethi et radhi j'ai relancer le client pour obtenir plus de garantie_x000D_
[26/01/2026 11:17] a rappeler_x000D_
[26/01/2026 11:18] 
[23/06/2025 16:21] relance fathi
[03/07/2025 10:55] suite a la reunion avec fethi et radhi j'ai relancer le client pour obtenir plus de garantie
[26/01/2026 11:17] a rappeler_x000D_
[20/02/2026 12:41] 
[23/06/2025 16:21] relance fathi
[03/07/2025 10:55] suite a la reunion avec fethi et radhi j'ai relancer le client pour obtenir plus de garantie
[26/01/2026 11:17] a rappeler
[26/01/2026 11:18] 
[23/06/2025 16:21] relance fathi
[03/07/2025 10:55] suite a la reunion avec fethi et radhi j'ai relancer le client pour obtenir plus de garantie
[26/01/2026 11:17] a rappeler</t>
  </si>
  <si>
    <t>privé</t>
  </si>
  <si>
    <t>en cours</t>
  </si>
  <si>
    <t>commune de sidi bou said</t>
  </si>
  <si>
    <t>walid nefzi</t>
  </si>
  <si>
    <t>w.nefzi@commune-sidibousaid.gov.tn</t>
  </si>
  <si>
    <t>🌟</t>
  </si>
  <si>
    <t>Vrai_x000D_
[20/08/2025 09:03] Vrai</t>
  </si>
  <si>
    <t>mail envoyer_x000D_
[14/07/2025 11:56] negociation clturer_x000D_
[14/07/2025 11:56] parametrage 3% frais dossier teste aujourd'hui</t>
  </si>
  <si>
    <t>non</t>
  </si>
  <si>
    <t xml:space="preserve">NOUVELAIR </t>
  </si>
  <si>
    <t xml:space="preserve">Najah CHAALALI </t>
  </si>
  <si>
    <t>reclamation.bagage@nouvelair.com</t>
  </si>
  <si>
    <t xml:space="preserve">accepte tous les condition contrat envoyé/ attente RH nouvelair
[20/06/2025 09:38] injoingnable
_x000D_
[24/06/2025 08:51] contre proposition a etudier
_x000D_
[02/04/2026 09:56] accepte tous les condition contrat envoyé/ attente RH nouvelair
[20/06/2025 09:38] injoingnable
[24/06/2025 08:51] contre proposition a etudier
</t>
  </si>
  <si>
    <t>etatique</t>
  </si>
  <si>
    <t>Association des controleurs de CNSS</t>
  </si>
  <si>
    <t>Med salah</t>
  </si>
  <si>
    <t>La proposition a été envoyée et nous attendons la confirmation de la date de la réunion, après que les membres de l'amicale se seront réunis entre eux</t>
  </si>
  <si>
    <t>atccnss2021@gmail.com</t>
  </si>
  <si>
    <t>_x000D_
[23/06/2025 10:04] premier contact_x000D_
[23/06/2025 12:39] mail envoyer_x000D_
[02/07/2025 11:29] plannifier un rdv _x000D_
[04/07/2025 11:52] mail de RDV pour mercredi_x000D_
[10/07/2025 14:29] reunion hier ils remplient toute les condition attente validation fethi</t>
  </si>
  <si>
    <t xml:space="preserve">centre technique de la chimie </t>
  </si>
  <si>
    <t>WAHID OUERGHI - DAF</t>
  </si>
  <si>
    <t>wahid.ouerghi@ctc.tn</t>
  </si>
  <si>
    <t xml:space="preserve">_x000D_
[20/06/2025 11:55] contact_x000D_
[10/07/2025 14:29] radhi a refuser_x000D_
[11/07/2025 10:47] radhi a bloquer_x000D_
[22/07/2025 09:00]  </t>
  </si>
  <si>
    <t>Privé</t>
  </si>
  <si>
    <t>900-4000</t>
  </si>
  <si>
    <t>L'amicale de delice</t>
  </si>
  <si>
    <t>mohamed nejib sakka</t>
  </si>
  <si>
    <t>REUNION LA SEMAINE PROCHAINE</t>
  </si>
  <si>
    <t>Mohamednejib.sakka@groupedelice.com.tn</t>
  </si>
  <si>
    <t>RDV apres aid /injoignable le 18/06 /dossier chez RH_x000D_
[10/07/2025 14:26] deliberation OK le 08072025_x000D_
[10/07/2025 14:27] DEMANDE DE REUNION_x000D_
[14/07/2025 11:57] relance fathi sans reponse</t>
  </si>
  <si>
    <t>L'amicale des enseignants d'éducation physique(aeeps)</t>
  </si>
  <si>
    <t>Mahdi Nebli</t>
  </si>
  <si>
    <t>en attente du dossier juridique: Engagement par l'amicale</t>
  </si>
  <si>
    <t>aeeps2020@gmail.com</t>
  </si>
  <si>
    <t>mail envoyer/demande de reunion dans nos locaux _x000D_
[24/06/2025 08:52] mail envoyer/demande de reunion dans nos locaux _x000D_
[24/06/2025 08:52] attente contact pour RDV_x000D_
[24/06/2025 15:28] contacte client</t>
  </si>
  <si>
    <t>Aquaculture</t>
  </si>
  <si>
    <t>Omar Belhadj</t>
  </si>
  <si>
    <t>Réunion 19/11/2024 à 10H</t>
  </si>
  <si>
    <t xml:space="preserve">&lt;omar.belhadjamor@gmail.com&gt; </t>
  </si>
  <si>
    <t>🌟🌟</t>
  </si>
  <si>
    <t>attente confirmation RH_x000D_
[23/06/2025 11:07] injoignable_x000D_
[24/06/2025 08:52] injoignable_x000D_
[30/06/2025 09:47] injoignable</t>
  </si>
  <si>
    <t>amicale SNCFT</t>
  </si>
  <si>
    <t>CHERIF ABIDI</t>
  </si>
  <si>
    <t>Amicalecheminots25@gmail.com</t>
  </si>
  <si>
    <t>🌟🌟🌟🌟</t>
  </si>
  <si>
    <t xml:space="preserve">mail envoyer attente confirmation/ demande de reunion _x000D_
[24/06/2025 08:54] proposition d'ajouter une ristourne attente mail de confirmation_x000D_
[25/06/2025 10:37] 2eme contacte planification reunion la semaine prochaine_x000D_
[10/07/2025 14:28] attente confiramtion fethi pour reunion_x000D_
[18/07/2025 12:40] reunion la semaine prochaine </t>
  </si>
  <si>
    <t>UTS PALMAALU</t>
  </si>
  <si>
    <t>NABIL JEBALI</t>
  </si>
  <si>
    <t>n.jebali@palmaalu.com</t>
  </si>
  <si>
    <t>_x000D_
[20/06/2025 09:43] mail envoyer le 17/06</t>
  </si>
  <si>
    <t>cession sur salaire effectuée par l’amicale, suivie d’un virement mensuel au compte de Magasin Général  par l'amicale</t>
  </si>
  <si>
    <t>à négocier</t>
  </si>
  <si>
    <t xml:space="preserve">crédit sur 6 mois sans intérèt </t>
  </si>
  <si>
    <t xml:space="preserve">l’Amicale du ministère de l’Enseignement Supérieur et de la Recherche Scientifique </t>
  </si>
  <si>
    <t>1500</t>
  </si>
  <si>
    <t>ali othmeni</t>
  </si>
  <si>
    <t>26156714</t>
  </si>
  <si>
    <t>aliothmani.amicalemesrs@gmail.com</t>
  </si>
  <si>
    <t>_x000D_
[28/07/2025 09:11] reunion tenue le lundi 21/07 tous les clause on était etudier et un engagement solidaire le part de l'amicale a était valider dans la reunion_x000D_
[28/07/2025 09:12] transmission duj dossier le jour meme a la dfc pour vlidation</t>
  </si>
  <si>
    <t>1000→3000dt</t>
  </si>
  <si>
    <t>cession sur salaire effectuée par l’amicale, suivie d’un virement mensuel au compte de Magasin Général.</t>
  </si>
  <si>
    <t>Carte fid: Offrir 20dt par mois pour les achats alimentaires</t>
  </si>
  <si>
    <t>Contrat à signer avec la société ET NON L'AMICALE</t>
  </si>
  <si>
    <t>Amicale de la CPG metlaoui</t>
  </si>
  <si>
    <t>M.Fathi Chaabani</t>
  </si>
  <si>
    <t>Fethiformation@gmail.com</t>
  </si>
  <si>
    <t>attente mail pour envoie dossier / deuxieme contatct le 10/06</t>
  </si>
  <si>
    <t>1%(200kDT)</t>
  </si>
  <si>
    <t xml:space="preserve">Offrir des cadeaux lors des événements : « La journée du savoir » et « La cérémonie d’hommage aux retraités »                                          </t>
  </si>
  <si>
    <t>Contrat à signer avec la société</t>
  </si>
  <si>
    <t>assurance BIAT</t>
  </si>
  <si>
    <t>meriem.boughanmi</t>
  </si>
  <si>
    <t>meriem.boughanmi@assurancesbiat.com.tn</t>
  </si>
  <si>
    <t xml:space="preserve">demande irrealisable </t>
  </si>
  <si>
    <t>Amicale du Ministère de l’agriculture_Direction Régional de Kairouan</t>
  </si>
  <si>
    <t>M.Zied Zarmdini</t>
  </si>
  <si>
    <t>Réunion Teams 24/10/2024 à faire une autre réunion avec l'amicale centrale :</t>
  </si>
  <si>
    <t>a rappeler</t>
  </si>
  <si>
    <t>cession ou traite</t>
  </si>
  <si>
    <t>par paliers</t>
  </si>
  <si>
    <t>Ministère de finances</t>
  </si>
  <si>
    <t>Mme Monia Djebbi</t>
  </si>
  <si>
    <t>non disponible</t>
  </si>
  <si>
    <t>a rappeler_x000D_
[10/07/2025 14:27] mail envoyer attente reponse_x000D_
[13/01/2026 12:01] mail rappel_x000D_
[13/01/2026 12:01] a rappeler
[10/07/2025 14:27] mail envoyer attente reponse
[13/01/2026 12:01] mail rappel</t>
  </si>
  <si>
    <t>à Partir de 900dt</t>
  </si>
  <si>
    <t>cession sur salaire effectuée par l’amicale, suivie d’un virement mensuel par la municipalité au compte de Magasin Général.</t>
  </si>
  <si>
    <t>Contrat à signer avec le président de l'amical pas le président de la municipalité A VOIR AVEC SI RADHI</t>
  </si>
  <si>
    <t>Amicale de la Direction Régional du Ministère de la santé de Gafsa</t>
  </si>
  <si>
    <t>Mme Afef Daly/houcine ounis</t>
  </si>
  <si>
    <t>53108122/26166715</t>
  </si>
  <si>
    <t>A recontacter lundi pour fixer un call pour la semaine prochaine</t>
  </si>
  <si>
    <t>houcineounis14@gmail.com</t>
  </si>
  <si>
    <t>reunion avec imed + mail envoyer</t>
  </si>
  <si>
    <t>cession sur salaire</t>
  </si>
  <si>
    <t>LEONI</t>
  </si>
  <si>
    <t xml:space="preserve">Imed Ben Smida </t>
  </si>
  <si>
    <t>Un email a été envoyé pour organiser une réunion, et nous sommes en attente de réponse: cas spécifique: offre pour le paiement au comptant sans engagement de la société</t>
  </si>
  <si>
    <t>imed.smida@leoni.com</t>
  </si>
  <si>
    <t xml:space="preserve">a revoir les condition </t>
  </si>
  <si>
    <r>
      <t>وزارة</t>
    </r>
    <r>
      <rPr>
        <b/>
        <sz val="12"/>
        <rFont val="Aptos"/>
        <family val="2"/>
      </rPr>
      <t xml:space="preserve"> </t>
    </r>
    <r>
      <rPr>
        <b/>
        <sz val="12"/>
        <rFont val="Arial"/>
        <family val="2"/>
      </rPr>
      <t>أمــــــــلاك</t>
    </r>
    <r>
      <rPr>
        <b/>
        <sz val="12"/>
        <rFont val="Aptos"/>
        <family val="2"/>
      </rPr>
      <t xml:space="preserve"> </t>
    </r>
    <r>
      <rPr>
        <b/>
        <sz val="12"/>
        <rFont val="Arial"/>
        <family val="2"/>
      </rPr>
      <t>الـــــدولة</t>
    </r>
    <r>
      <rPr>
        <b/>
        <sz val="12"/>
        <rFont val="Aptos"/>
        <family val="2"/>
      </rPr>
      <t xml:space="preserve"> </t>
    </r>
    <r>
      <rPr>
        <b/>
        <sz val="12"/>
        <rFont val="Arial"/>
        <family val="2"/>
      </rPr>
      <t>والشـــــــؤون</t>
    </r>
    <r>
      <rPr>
        <b/>
        <sz val="12"/>
        <rFont val="Aptos"/>
        <family val="2"/>
      </rPr>
      <t xml:space="preserve"> </t>
    </r>
    <r>
      <rPr>
        <b/>
        <sz val="12"/>
        <rFont val="Arial"/>
        <family val="2"/>
      </rPr>
      <t>العقــــــــارية</t>
    </r>
  </si>
  <si>
    <t>22284983/58460144</t>
  </si>
  <si>
    <t>ATTENTE MAIL   _x000D_
[20/06/2025 09:39] mail envoyer_x000D_
[20/06/2025 09:40] mail envoyer_x000D_
[20/06/2025 09:40] mail envoyer_x000D_
[20/06/2025 09:40] ATTENTE MAIL   
[20/06/2025 09:39] mail envoyer
[20/06/2025 09:40] mail envoyer
[20/06/2025 09:40] mail envoyer_x000D_
[20/06/2025 09:40] ATTENTE MAIL   
[20/06/2025 09:39] mail envoyer
[20/06/2025 09:40] mail envoyer
_x000D_
[20/06/2025 09:40] ATTENTE MAIL   
[20/06/2025 09:39] mail envoyer
_x000D_
[20/06/2025 09:40] ATTENTE MAIL   
[20/06/2025 09:39] mail envoyer_x000D_
[20/06/2025 09:41] ATTENTE MAIL   
[20/06/2025 09:39] mail envoyer
[20/06/2025 09:40] mail envoyer
[20/06/2025 09:40] mail envoyer
[20/06/2025 09:40] ATTENTE MAIL   
[20/06/2025 09:39] mail envoyer
[20/06/2025 09:40] mail envoyer
[20/06/2025 09:40] mail envoyer
[20/06/2025 09:40] ATTENTE MAIL   
[20/06/2025 09:39] mail envoyer
[20/06/2025 09:40] mail envoyer
[20/06/2025 09:40] ATTENTE MAIL   
[20/06/2025 09:39] mail envoyer
[20/06/2025 09:40] ATTENTE MAIL   
[20/06/2025 09:39] mail envoyer</t>
  </si>
  <si>
    <t xml:space="preserve">Mutuelle des affaires culturelles et informations </t>
  </si>
  <si>
    <t>nassreddine goutali</t>
  </si>
  <si>
    <t>29669691/96233190</t>
  </si>
  <si>
    <t>culturemutuelle@gmail.com</t>
  </si>
  <si>
    <t>MAIL ENVOYER_x000D_
[20/06/2025 09:40] MAIL ENVOYER</t>
  </si>
  <si>
    <t>amicale pharmacie centrale</t>
  </si>
  <si>
    <t xml:space="preserve">  </t>
  </si>
  <si>
    <t>58499841/29882386</t>
  </si>
  <si>
    <t>election le 17/06/a recontacter dans deux  jours_x000D_
[24/06/2025 08:53] contact attente prise de poste_x000D_
[25/06/2025 10:40] a recontacter debut de semaine</t>
  </si>
  <si>
    <t>Privé off shore</t>
  </si>
  <si>
    <t>amicale CNSS</t>
  </si>
  <si>
    <t>il n'a pas accepté notre procédure d'achat: l'amicale qui est le seul vis-à-vis pour la validation de devis (RH ne signe aucun document)</t>
  </si>
  <si>
    <t>ksaierriadh@gmail.com</t>
  </si>
  <si>
    <t>_x000D_
[23/06/2025 10:08] premier contact le responsable a déjà était contacter a plusieur reprise par MG sans success</t>
  </si>
  <si>
    <t>Figeac Aero</t>
  </si>
  <si>
    <t>Siwar Baccara</t>
  </si>
  <si>
    <t>cas spécifique: offre pour le paiement au comptant sans engagement de la société</t>
  </si>
  <si>
    <t>_x000D_
[25/06/2025 11:08] le contact n'est plus chez figeac_x000D_
[25/06/2025 11:33] contacte sur linkedin attente reponse_x000D_
[25/06/2025 11:35] contacter sur linkedin</t>
  </si>
  <si>
    <t>j'ai contacté le secrétaire général 20 000 adérhents</t>
  </si>
  <si>
    <t>kromberg &amp; Schubert</t>
  </si>
  <si>
    <t>Tarek chabir</t>
  </si>
  <si>
    <t>KSTN-Be@kroschu.com</t>
  </si>
  <si>
    <t>_x000D_
[25/06/2025 11:36] premier contact_x000D_
[10/07/2025 14:30] en negociation avec fethi pour avoir un process tres gros client present seullment a beja</t>
  </si>
  <si>
    <t>670→3000dt</t>
  </si>
  <si>
    <t>cession sur salaire directement au compte Mg</t>
  </si>
  <si>
    <t>a voir avec Si radhi</t>
  </si>
  <si>
    <t xml:space="preserve">PROXYM IT </t>
  </si>
  <si>
    <t xml:space="preserve">mohamed ben abedelekader </t>
  </si>
  <si>
    <t>med.ben-abdelkader@proxym-it.com</t>
  </si>
  <si>
    <t>_x000D_
[18/07/2025 11:32] convention plus /achat au comptant</t>
  </si>
  <si>
    <t>cession sur salaire par l'amicale</t>
  </si>
  <si>
    <t>DRAXLMAIER</t>
  </si>
  <si>
    <t xml:space="preserve">Nouira Noamen </t>
  </si>
  <si>
    <t>Contacté par téléphone : à recontacter le lundi pour fixer un rendez-vous.</t>
  </si>
  <si>
    <t xml:space="preserve">cession sur salaire </t>
  </si>
  <si>
    <t>Reporté</t>
  </si>
  <si>
    <t>On garde la convention en supprimant la close d'engagement et la remplacer par une traite globale à signer dès le départ et la sociéte s'engage a nous avertir en cas de départ et déduire le montant du depuis son solde de tout compte</t>
  </si>
  <si>
    <t>SOTUVER</t>
  </si>
  <si>
    <t>hosni kouki/amel mersseni</t>
  </si>
  <si>
    <t>hosni.kouki@sotuver.com.tn/amal.mersani@sotuver.com.tn</t>
  </si>
  <si>
    <t>_x000D_
[01/09/2025 10:44] 3eme contact sans success</t>
  </si>
  <si>
    <t>Remise au comptant /Crédit étalé sur 24 mois /Crédit sans intérêt sur une période de 6 mois / Gratuité de la livraison et de la mise en marche</t>
  </si>
  <si>
    <t>COMMUNE DU KRAM</t>
  </si>
  <si>
    <t>MOHAMED</t>
  </si>
  <si>
    <t>_x000D_
[01/09/2025 10:56] relance</t>
  </si>
  <si>
    <t>Agence technique des transports terrestres </t>
  </si>
  <si>
    <t xml:space="preserve">Moezeddine ayed </t>
  </si>
  <si>
    <t xml:space="preserve">contacté par téléphone </t>
  </si>
  <si>
    <t>Hédi Grami</t>
  </si>
  <si>
    <t>A recontacter 2025:au cours de la transition entre laico et redisson blu</t>
  </si>
  <si>
    <t>SONOBRA</t>
  </si>
  <si>
    <t>Mohammed Aymen Abassi</t>
  </si>
  <si>
    <t>A recontacter le 13: décembre closing</t>
  </si>
  <si>
    <t>Taoufik Hosni</t>
  </si>
  <si>
    <t xml:space="preserve">Reporter la réunion pour la semaine prochaine </t>
  </si>
  <si>
    <t>Amicale Société SOSTEM</t>
  </si>
  <si>
    <t>Mme Abir Ben Mbarek</t>
  </si>
  <si>
    <t>à recontacter MERCREDI  pour fixer un rendez-vous.</t>
  </si>
  <si>
    <t xml:space="preserve">_x000D_
[20/08/2025 11:37] attente des nouvelle election </t>
  </si>
  <si>
    <t>Mail envoyé pour fixer une réunion: remise au comptant/ crédit sans engagemnt</t>
  </si>
  <si>
    <t>TOPNET</t>
  </si>
  <si>
    <t>Essia yahmadi/ Ramzi bayoudh</t>
  </si>
  <si>
    <t>98437320/93301927</t>
  </si>
  <si>
    <t xml:space="preserve">A recontacter pour fixer un rendez-vous </t>
  </si>
  <si>
    <t>Offrir des cadeaux lors des événements : « La journée du savoir » et « La cérémonie d’hommage aux retraités » </t>
  </si>
  <si>
    <t>Amicale Société du Transport du Sahel    STS</t>
  </si>
  <si>
    <t>Mansour ben Gharsalli</t>
  </si>
  <si>
    <t>Réunion effectuée le 21/10 contrat envoyé en attente de signature</t>
  </si>
  <si>
    <t>Crédit sans intérêt sur une période de 6 mois</t>
  </si>
  <si>
    <t>Amicale de la municipalité de sousse</t>
  </si>
  <si>
    <t>Sondes Ismail</t>
  </si>
  <si>
    <t>Réunion TEAMS effectuée le 24/10/2024: A voir le mode paiement: cession   et l'action de lancement/ En attente du dossier juridique</t>
  </si>
  <si>
    <t>Traite</t>
  </si>
  <si>
    <t>Pas de ristourne</t>
  </si>
  <si>
    <t>Le dossier sera traité comme le type de crédit particulier qui est validé par M. Radhi ben Masseoud</t>
  </si>
  <si>
    <t>SICAM</t>
  </si>
  <si>
    <t>Belhassen Sellami</t>
  </si>
  <si>
    <t>Réunion 18/11/2024 à 15H</t>
  </si>
  <si>
    <t>L'amicale de l'UIB</t>
  </si>
  <si>
    <t>Asma Chabbouh</t>
  </si>
  <si>
    <t xml:space="preserve">Modèle vierge de la convention envoyé </t>
  </si>
  <si>
    <t>Mehdi sioudi</t>
  </si>
  <si>
    <t>demande d'organiser une réunion a été envoyée</t>
  </si>
  <si>
    <t>SPRINT</t>
  </si>
  <si>
    <t>Fawez Mastoura</t>
  </si>
  <si>
    <t>Société Sartex</t>
  </si>
  <si>
    <t>M. Malek</t>
  </si>
  <si>
    <t>Réunion effectuée le 21/10/24. Proposition à valider : salaire à partir de 650 DT, sans engagement de la société.</t>
  </si>
  <si>
    <t>commune Naassen</t>
  </si>
  <si>
    <t>Monaam ouhibi</t>
  </si>
  <si>
    <t>nous sommes en attente de dossier juridique et l'accord de l'amicale de notre proposition</t>
  </si>
  <si>
    <t>Benetton Distribution Tunisie et Benetton manufacturing Tunisia</t>
  </si>
  <si>
    <t>Rached farjallah</t>
  </si>
  <si>
    <t>sans engagement de la société à voir la possibilité d'une traite globale comme garantie</t>
  </si>
  <si>
    <t>Ooredoo club privilége</t>
  </si>
  <si>
    <t>Nada</t>
  </si>
  <si>
    <t xml:space="preserve">A voir les propositions de client pour validation / les Points que le client discutera avec la RH de Ooredoo: engagement et modalité de paiement </t>
  </si>
  <si>
    <t>Amicale de l'université de Monastir</t>
  </si>
  <si>
    <t>Arbi Moujahed</t>
  </si>
  <si>
    <t>YAZAKI GAFSA</t>
  </si>
  <si>
    <t xml:space="preserve">M.Bassem </t>
  </si>
  <si>
    <t>Le contact était avec le directeur logistique, qui doit ensuite contacter le DRH afin qu'il me joigne pour fixer une réunion</t>
  </si>
  <si>
    <t>ENDA TAMWEEL</t>
  </si>
  <si>
    <t>Hela ben Ali</t>
  </si>
  <si>
    <t>pas d'engagement de la société: demande d'une remise au comptant</t>
  </si>
  <si>
    <t>Amicale des fonctionnaires et des agents de l'université de Kairouan</t>
  </si>
  <si>
    <t>Raja Ben Hssine</t>
  </si>
  <si>
    <t>non diponible : en attente de confirmer une réunion</t>
  </si>
  <si>
    <t xml:space="preserve">IBS Interbank services </t>
  </si>
  <si>
    <t>Khaled Boukhriss</t>
  </si>
  <si>
    <t xml:space="preserve">Sans engagement de la société </t>
  </si>
  <si>
    <t>municipalite de moknine</t>
  </si>
  <si>
    <t>ZIED</t>
  </si>
  <si>
    <t>SARTEX</t>
  </si>
  <si>
    <t>OUMAYMA</t>
  </si>
  <si>
    <t>ELECTRO CONTACT</t>
  </si>
  <si>
    <t>2500</t>
  </si>
  <si>
    <t>AMINE RASSASSE</t>
  </si>
  <si>
    <t>98773770</t>
  </si>
  <si>
    <t>المجلس الوطني للجهات والأقاليم</t>
  </si>
  <si>
    <t>SALMA BOUAZZA</t>
  </si>
  <si>
    <t>RNTA</t>
  </si>
  <si>
    <t>HABIB CHALBI</t>
  </si>
  <si>
    <t>municipalite kairoun</t>
  </si>
  <si>
    <t>WAHIBA KHLIFI</t>
  </si>
  <si>
    <t>Khelifiwahiba17@gmail.com</t>
  </si>
  <si>
    <t>ministere des domaine publique</t>
  </si>
  <si>
    <t>adel nouri</t>
  </si>
  <si>
    <t>58460144</t>
  </si>
  <si>
    <t>BBM BRICOTERIE</t>
  </si>
  <si>
    <t>HATTAB</t>
  </si>
  <si>
    <t>Mutuelle de la santé publique de Mehdia</t>
  </si>
  <si>
    <t>neji ben mosbeh</t>
  </si>
  <si>
    <t>neji.benmosbeh@rns.tn amitesantemahdia@gmail.com</t>
  </si>
  <si>
    <t>_x000D_
[13/01/2026 11:53] premier contact</t>
  </si>
  <si>
    <t>MNET</t>
  </si>
  <si>
    <t>AYMEN SAADI</t>
  </si>
  <si>
    <t>aymen.saadi@mnet.tn</t>
  </si>
  <si>
    <t>_x000D_
[26/03/2026 09:13] FETHI EST CONTRE</t>
  </si>
  <si>
    <t>Mutuelle de l’Office National de l’Artisanat</t>
  </si>
  <si>
    <t>abdessatar</t>
  </si>
  <si>
    <t>mutuelle.ona.denden@gmail.com</t>
  </si>
  <si>
    <t>Office National du Tourisme Tunisien</t>
  </si>
  <si>
    <t xml:space="preserve">hani ben hmida </t>
  </si>
  <si>
    <t xml:space="preserve"> Heni.Benhmida@discovertunisia.com</t>
  </si>
  <si>
    <t>OACA</t>
  </si>
  <si>
    <t>LOTFI BEN MANSSOUR</t>
  </si>
  <si>
    <t xml:space="preserve">lotfi.benmansour@oaca.nat.tn </t>
  </si>
  <si>
    <t>AMICALE INS</t>
  </si>
  <si>
    <t>meher mbarek</t>
  </si>
  <si>
    <t>55897807</t>
  </si>
  <si>
    <t>mahermbarek@gmail.com'</t>
  </si>
  <si>
    <t>_x000D_
[13/01/2026 12:00] deuxieme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</si>
</sst>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C000"/>
      <name val="Aptos Narrow"/>
      <family val="2"/>
      <scheme val="minor"/>
    </font>
    <font>
      <sz val="10"/>
      <color rgb="FF434343"/>
      <name val="Arial"/>
      <family val="2"/>
    </font>
    <font>
      <b/>
      <sz val="12"/>
      <color rgb="FFEE0000"/>
      <name val="Aptos"/>
      <family val="2"/>
    </font>
    <font>
      <b/>
      <sz val="12"/>
      <name val="Arial"/>
      <family val="2"/>
    </font>
    <font>
      <b/>
      <sz val="12"/>
      <name val="Aptos"/>
      <family val="2"/>
    </font>
    <font>
      <sz val="12"/>
      <name val="Aptos"/>
      <family val="2"/>
    </font>
    <font>
      <sz val="12"/>
      <color rgb="FF5E327C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2" xfId="1" applyBorder="1"/>
    <xf numFmtId="164" fontId="3" fillId="0" borderId="6" xfId="0" applyNumberFormat="1" applyFont="1" applyBorder="1" applyAlignment="1">
      <alignment horizontal="center" wrapText="1"/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5" xfId="0" applyNumberFormat="1" applyBorder="1"/>
    <xf numFmtId="0" fontId="0" fillId="0" borderId="7" xfId="0" applyBorder="1"/>
    <xf numFmtId="0" fontId="0" fillId="3" borderId="5" xfId="0" applyFill="1" applyBorder="1"/>
    <xf numFmtId="0" fontId="2" fillId="0" borderId="0" xfId="1" applyBorder="1"/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5" xfId="1" applyBorder="1"/>
    <xf numFmtId="0" fontId="2" fillId="0" borderId="5" xfId="1" applyBorder="1" applyAlignment="1">
      <alignment vertical="center"/>
    </xf>
    <xf numFmtId="0" fontId="4" fillId="0" borderId="5" xfId="0" applyFont="1" applyBorder="1"/>
    <xf numFmtId="0" fontId="0" fillId="4" borderId="5" xfId="0" applyFill="1" applyBorder="1"/>
    <xf numFmtId="0" fontId="0" fillId="0" borderId="6" xfId="0" applyBorder="1"/>
    <xf numFmtId="0" fontId="5" fillId="0" borderId="5" xfId="0" applyFont="1" applyBorder="1" applyAlignment="1">
      <alignment wrapText="1"/>
    </xf>
    <xf numFmtId="0" fontId="0" fillId="4" borderId="7" xfId="0" applyFill="1" applyBorder="1"/>
    <xf numFmtId="0" fontId="0" fillId="4" borderId="0" xfId="0" applyFill="1"/>
    <xf numFmtId="0" fontId="6" fillId="4" borderId="5" xfId="0" applyFont="1" applyFill="1" applyBorder="1" applyAlignment="1">
      <alignment horizontal="left"/>
    </xf>
    <xf numFmtId="0" fontId="0" fillId="0" borderId="5" xfId="0" applyBorder="1" applyAlignment="1">
      <alignment wrapText="1"/>
    </xf>
    <xf numFmtId="0" fontId="2" fillId="0" borderId="0" xfId="1" applyBorder="1" applyAlignment="1">
      <alignment vertical="center"/>
    </xf>
    <xf numFmtId="0" fontId="0" fillId="5" borderId="5" xfId="0" applyFill="1" applyBorder="1"/>
    <xf numFmtId="0" fontId="0" fillId="6" borderId="5" xfId="0" applyFill="1" applyBorder="1"/>
    <xf numFmtId="0" fontId="2" fillId="0" borderId="0" xfId="1" applyAlignment="1">
      <alignment wrapText="1"/>
    </xf>
    <xf numFmtId="0" fontId="0" fillId="0" borderId="5" xfId="0" applyBorder="1" applyAlignment="1">
      <alignment vertical="top" wrapText="1"/>
    </xf>
    <xf numFmtId="0" fontId="0" fillId="6" borderId="2" xfId="0" applyFill="1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2" xfId="0" applyNumberFormat="1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4" borderId="9" xfId="0" applyFill="1" applyBorder="1"/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9" xfId="0" applyNumberFormat="1" applyBorder="1"/>
    <xf numFmtId="0" fontId="0" fillId="0" borderId="10" xfId="0" applyBorder="1"/>
    <xf numFmtId="164" fontId="3" fillId="0" borderId="9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2" fillId="0" borderId="0" xfId="1" applyAlignment="1">
      <alignment vertical="center"/>
    </xf>
    <xf numFmtId="0" fontId="2" fillId="4" borderId="5" xfId="1" applyFill="1" applyBorder="1" applyAlignment="1">
      <alignment vertical="center"/>
    </xf>
    <xf numFmtId="0" fontId="8" fillId="0" borderId="0" xfId="0" applyFont="1"/>
    <xf numFmtId="0" fontId="2" fillId="0" borderId="0" xfId="1"/>
    <xf numFmtId="0" fontId="9" fillId="0" borderId="0" xfId="0" applyFont="1" applyAlignment="1">
      <alignment vertical="center"/>
    </xf>
    <xf numFmtId="0" fontId="7" fillId="0" borderId="0" xfId="0" applyFont="1"/>
    <xf numFmtId="0" fontId="0" fillId="0" borderId="0" xfId="0" quotePrefix="1"/>
  </cellXfs>
  <cellStyles count="2">
    <cellStyle name="Lien hypertexte" xfId="1" builtinId="8"/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122705</xdr:colOff>
      <xdr:row>0</xdr:row>
      <xdr:rowOff>0</xdr:rowOff>
    </xdr:from>
    <xdr:to>
      <xdr:col>19</xdr:col>
      <xdr:colOff>1265705</xdr:colOff>
      <xdr:row>11</xdr:row>
      <xdr:rowOff>49119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A5150151-CD8A-43B7-9230-B2BA2B287798}"/>
            </a:ext>
          </a:extLst>
        </xdr:cNvPr>
        <xdr:cNvGrpSpPr/>
      </xdr:nvGrpSpPr>
      <xdr:grpSpPr>
        <a:xfrm>
          <a:off x="125880" y="0"/>
          <a:ext cx="18070286" cy="1991765"/>
          <a:chOff x="22412" y="0"/>
          <a:chExt cx="11703426" cy="2111188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04D8B153-2EB3-E92B-821F-68A61D72D8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000" y="14941"/>
            <a:ext cx="1217705" cy="682845"/>
          </a:xfrm>
          <a:prstGeom prst="rect">
            <a:avLst/>
          </a:prstGeom>
        </xdr:spPr>
      </xdr:pic>
      <xdr:pic>
        <xdr:nvPicPr>
          <xdr:cNvPr id="4" name="Graphique 3">
            <a:extLst>
              <a:ext uri="{FF2B5EF4-FFF2-40B4-BE49-F238E27FC236}">
                <a16:creationId xmlns:a16="http://schemas.microsoft.com/office/drawing/2014/main" id="{58E79FC5-869E-8CA7-B34F-72DBD23DB3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0018059" y="0"/>
            <a:ext cx="1514475" cy="695325"/>
          </a:xfrm>
          <a:prstGeom prst="rect">
            <a:avLst/>
          </a:prstGeom>
        </xdr:spPr>
      </xdr:pic>
      <xdr:grpSp>
        <xdr:nvGrpSpPr>
          <xdr:cNvPr id="5" name="Groupe 4">
            <a:extLst>
              <a:ext uri="{FF2B5EF4-FFF2-40B4-BE49-F238E27FC236}">
                <a16:creationId xmlns:a16="http://schemas.microsoft.com/office/drawing/2014/main" id="{CFEF00E0-0D56-9853-52BA-6D41910BFABF}"/>
              </a:ext>
            </a:extLst>
          </xdr:cNvPr>
          <xdr:cNvGrpSpPr/>
        </xdr:nvGrpSpPr>
        <xdr:grpSpPr>
          <a:xfrm>
            <a:off x="22412" y="739586"/>
            <a:ext cx="11703426" cy="1371602"/>
            <a:chOff x="575236" y="769468"/>
            <a:chExt cx="11703426" cy="1371602"/>
          </a:xfrm>
        </xdr:grpSpPr>
        <xdr:grpSp>
          <xdr:nvGrpSpPr>
            <xdr:cNvPr id="6" name="Groupe 5">
              <a:extLst>
                <a:ext uri="{FF2B5EF4-FFF2-40B4-BE49-F238E27FC236}">
                  <a16:creationId xmlns:a16="http://schemas.microsoft.com/office/drawing/2014/main" id="{1EDBBBA6-D57E-6986-E5B5-E1FF70B0259C}"/>
                </a:ext>
              </a:extLst>
            </xdr:cNvPr>
            <xdr:cNvGrpSpPr/>
          </xdr:nvGrpSpPr>
          <xdr:grpSpPr>
            <a:xfrm>
              <a:off x="575236" y="769468"/>
              <a:ext cx="11703426" cy="1371602"/>
              <a:chOff x="127000" y="261470"/>
              <a:chExt cx="11703426" cy="1371602"/>
            </a:xfrm>
          </xdr:grpSpPr>
          <xdr:grpSp>
            <xdr:nvGrpSpPr>
              <xdr:cNvPr id="12" name="Groupe 11">
                <a:extLst>
                  <a:ext uri="{FF2B5EF4-FFF2-40B4-BE49-F238E27FC236}">
                    <a16:creationId xmlns:a16="http://schemas.microsoft.com/office/drawing/2014/main" id="{CC8EA05B-1720-C442-07EF-75DC7D4AD8BA}"/>
                  </a:ext>
                </a:extLst>
              </xdr:cNvPr>
              <xdr:cNvGrpSpPr/>
            </xdr:nvGrpSpPr>
            <xdr:grpSpPr>
              <a:xfrm>
                <a:off x="127000" y="261470"/>
                <a:ext cx="2211295" cy="1307353"/>
                <a:chOff x="127000" y="261470"/>
                <a:chExt cx="2211295" cy="1307353"/>
              </a:xfrm>
            </xdr:grpSpPr>
            <xdr:sp macro="" textlink="">
              <xdr:nvSpPr>
                <xdr:cNvPr id="25" name="Rectangle : coins arrondis 24">
                  <a:extLst>
                    <a:ext uri="{FF2B5EF4-FFF2-40B4-BE49-F238E27FC236}">
                      <a16:creationId xmlns:a16="http://schemas.microsoft.com/office/drawing/2014/main" id="{D65DBC31-FA63-F1CB-DBED-7E5BAD34E5CF}"/>
                    </a:ext>
                  </a:extLst>
                </xdr:cNvPr>
                <xdr:cNvSpPr/>
              </xdr:nvSpPr>
              <xdr:spPr>
                <a:xfrm>
                  <a:off x="127000" y="261470"/>
                  <a:ext cx="2211295" cy="1307353"/>
                </a:xfrm>
                <a:prstGeom prst="roundRect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fr-FR" sz="2000" b="1">
                      <a:solidFill>
                        <a:sysClr val="windowText" lastClr="000000"/>
                      </a:solidFill>
                    </a:rPr>
                    <a:t>Clients contacté</a:t>
                  </a:r>
                  <a:endParaRPr lang="fr-TN" sz="20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[1]pivot!C4">
              <xdr:nvSpPr>
                <xdr:cNvPr id="26" name="ZoneTexte 25">
                  <a:extLst>
                    <a:ext uri="{FF2B5EF4-FFF2-40B4-BE49-F238E27FC236}">
                      <a16:creationId xmlns:a16="http://schemas.microsoft.com/office/drawing/2014/main" id="{F829A07A-7682-D097-36E4-F57F72568D42}"/>
                    </a:ext>
                  </a:extLst>
                </xdr:cNvPr>
                <xdr:cNvSpPr txBox="1"/>
              </xdr:nvSpPr>
              <xdr:spPr>
                <a:xfrm>
                  <a:off x="657411" y="926351"/>
                  <a:ext cx="992760" cy="531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15AA1221-9C5C-4237-AA4D-B82CA6CFDBEF}" type="TxLink">
                    <a:rPr lang="en-US" sz="3200" b="1" i="0" u="none" strike="noStrike">
                      <a:solidFill>
                        <a:srgbClr val="FF0000"/>
                      </a:solidFill>
                      <a:latin typeface="Aptos Narrow"/>
                      <a:ea typeface="Calibri"/>
                      <a:cs typeface="Calibri"/>
                    </a:rPr>
                    <a:pPr algn="ctr"/>
                    <a:t>40</a:t>
                  </a:fld>
                  <a:endParaRPr lang="fr-FR" sz="6600" b="1">
                    <a:solidFill>
                      <a:srgbClr val="FF0000"/>
                    </a:solidFill>
                    <a:latin typeface="Aptos" panose="020B0004020202020204" pitchFamily="34" charset="0"/>
                  </a:endParaRPr>
                </a:p>
              </xdr:txBody>
            </xdr:sp>
          </xdr:grpSp>
          <xdr:grpSp>
            <xdr:nvGrpSpPr>
              <xdr:cNvPr id="13" name="Groupe 12">
                <a:extLst>
                  <a:ext uri="{FF2B5EF4-FFF2-40B4-BE49-F238E27FC236}">
                    <a16:creationId xmlns:a16="http://schemas.microsoft.com/office/drawing/2014/main" id="{3B222E63-50C9-C605-C81E-A5133244FAA4}"/>
                  </a:ext>
                </a:extLst>
              </xdr:cNvPr>
              <xdr:cNvGrpSpPr/>
            </xdr:nvGrpSpPr>
            <xdr:grpSpPr>
              <a:xfrm>
                <a:off x="2490694" y="309283"/>
                <a:ext cx="2211295" cy="1307353"/>
                <a:chOff x="2490694" y="309283"/>
                <a:chExt cx="2211295" cy="1307353"/>
              </a:xfrm>
            </xdr:grpSpPr>
            <xdr:sp macro="" textlink="">
              <xdr:nvSpPr>
                <xdr:cNvPr id="23" name="Rectangle : coins arrondis 22">
                  <a:extLst>
                    <a:ext uri="{FF2B5EF4-FFF2-40B4-BE49-F238E27FC236}">
                      <a16:creationId xmlns:a16="http://schemas.microsoft.com/office/drawing/2014/main" id="{1FCD04AF-876B-375A-5091-86F49B35717A}"/>
                    </a:ext>
                  </a:extLst>
                </xdr:cNvPr>
                <xdr:cNvSpPr/>
              </xdr:nvSpPr>
              <xdr:spPr>
                <a:xfrm>
                  <a:off x="2490694" y="309283"/>
                  <a:ext cx="2211295" cy="1307353"/>
                </a:xfrm>
                <a:prstGeom prst="roundRect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fr-FR" sz="2000" b="1">
                      <a:solidFill>
                        <a:sysClr val="windowText" lastClr="000000"/>
                      </a:solidFill>
                    </a:rPr>
                    <a:t>Validation client</a:t>
                  </a:r>
                  <a:endParaRPr lang="fr-TN" sz="20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[1]pivot!C5">
              <xdr:nvSpPr>
                <xdr:cNvPr id="24" name="ZoneTexte 23">
                  <a:extLst>
                    <a:ext uri="{FF2B5EF4-FFF2-40B4-BE49-F238E27FC236}">
                      <a16:creationId xmlns:a16="http://schemas.microsoft.com/office/drawing/2014/main" id="{783C627A-F031-D3F5-C335-7198441C32E2}"/>
                    </a:ext>
                  </a:extLst>
                </xdr:cNvPr>
                <xdr:cNvSpPr txBox="1"/>
              </xdr:nvSpPr>
              <xdr:spPr>
                <a:xfrm>
                  <a:off x="3036045" y="944283"/>
                  <a:ext cx="992760" cy="531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EC252A43-0DD8-45BC-8FD4-1C436D0C90C2}" type="TxLink">
                    <a:rPr lang="en-US" sz="3200" b="1" i="0" u="none" strike="noStrike">
                      <a:solidFill>
                        <a:srgbClr val="FF0000"/>
                      </a:solidFill>
                      <a:latin typeface="Aptos Narrow"/>
                      <a:ea typeface="Calibri"/>
                      <a:cs typeface="Calibri"/>
                    </a:rPr>
                    <a:pPr algn="ctr"/>
                    <a:t>21</a:t>
                  </a:fld>
                  <a:endParaRPr lang="fr-FR" sz="19900" b="1">
                    <a:solidFill>
                      <a:srgbClr val="FF0000"/>
                    </a:solidFill>
                    <a:latin typeface="Aptos" panose="020B0004020202020204" pitchFamily="34" charset="0"/>
                  </a:endParaRPr>
                </a:p>
              </xdr:txBody>
            </xdr:sp>
          </xdr:grpSp>
          <xdr:grpSp>
            <xdr:nvGrpSpPr>
              <xdr:cNvPr id="14" name="Groupe 13">
                <a:extLst>
                  <a:ext uri="{FF2B5EF4-FFF2-40B4-BE49-F238E27FC236}">
                    <a16:creationId xmlns:a16="http://schemas.microsoft.com/office/drawing/2014/main" id="{456E8953-D660-A1F1-C37A-22FD356214F2}"/>
                  </a:ext>
                </a:extLst>
              </xdr:cNvPr>
              <xdr:cNvGrpSpPr/>
            </xdr:nvGrpSpPr>
            <xdr:grpSpPr>
              <a:xfrm>
                <a:off x="4839448" y="297331"/>
                <a:ext cx="2211295" cy="1307353"/>
                <a:chOff x="4839448" y="297331"/>
                <a:chExt cx="2211295" cy="1307353"/>
              </a:xfrm>
            </xdr:grpSpPr>
            <xdr:sp macro="" textlink="">
              <xdr:nvSpPr>
                <xdr:cNvPr id="21" name="Rectangle : coins arrondis 20">
                  <a:extLst>
                    <a:ext uri="{FF2B5EF4-FFF2-40B4-BE49-F238E27FC236}">
                      <a16:creationId xmlns:a16="http://schemas.microsoft.com/office/drawing/2014/main" id="{5085501E-3DBB-31F7-BDCB-16E7A6303C6A}"/>
                    </a:ext>
                  </a:extLst>
                </xdr:cNvPr>
                <xdr:cNvSpPr/>
              </xdr:nvSpPr>
              <xdr:spPr>
                <a:xfrm>
                  <a:off x="4839448" y="297331"/>
                  <a:ext cx="2211295" cy="1307353"/>
                </a:xfrm>
                <a:prstGeom prst="roundRect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fr-FR" sz="2000" b="1">
                      <a:solidFill>
                        <a:sysClr val="windowText" lastClr="000000"/>
                      </a:solidFill>
                    </a:rPr>
                    <a:t>Juridique</a:t>
                  </a:r>
                  <a:endParaRPr lang="fr-TN" sz="20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[1]pivot!C6">
              <xdr:nvSpPr>
                <xdr:cNvPr id="22" name="ZoneTexte 21">
                  <a:extLst>
                    <a:ext uri="{FF2B5EF4-FFF2-40B4-BE49-F238E27FC236}">
                      <a16:creationId xmlns:a16="http://schemas.microsoft.com/office/drawing/2014/main" id="{011A36F5-5EF1-0F03-1E12-8C7B913FC556}"/>
                    </a:ext>
                  </a:extLst>
                </xdr:cNvPr>
                <xdr:cNvSpPr txBox="1"/>
              </xdr:nvSpPr>
              <xdr:spPr>
                <a:xfrm>
                  <a:off x="5452034" y="947270"/>
                  <a:ext cx="992760" cy="531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marL="0" indent="0" algn="ctr"/>
                  <a:fld id="{D153E428-C2FE-49B7-92E3-7B867BE1F293}" type="TxLink">
                    <a:rPr lang="en-US" sz="3200" b="1" i="0" u="none" strike="noStrike">
                      <a:solidFill>
                        <a:srgbClr val="FF0000"/>
                      </a:solidFill>
                      <a:latin typeface="Aptos Narrow"/>
                      <a:ea typeface="Calibri"/>
                      <a:cs typeface="Calibri"/>
                    </a:rPr>
                    <a:pPr marL="0" indent="0" algn="ctr"/>
                    <a:t>3</a:t>
                  </a:fld>
                  <a:endParaRPr lang="fr-FR" sz="3200" b="1" i="0" u="none" strike="noStrike">
                    <a:solidFill>
                      <a:srgbClr val="FF0000"/>
                    </a:solidFill>
                    <a:latin typeface="Aptos Narrow"/>
                    <a:ea typeface="Calibri"/>
                    <a:cs typeface="Calibri"/>
                  </a:endParaRPr>
                </a:p>
              </xdr:txBody>
            </xdr:sp>
          </xdr:grpSp>
          <xdr:grpSp>
            <xdr:nvGrpSpPr>
              <xdr:cNvPr id="15" name="Groupe 14">
                <a:extLst>
                  <a:ext uri="{FF2B5EF4-FFF2-40B4-BE49-F238E27FC236}">
                    <a16:creationId xmlns:a16="http://schemas.microsoft.com/office/drawing/2014/main" id="{D420511F-F3ED-E41F-75F8-4D633F3D1135}"/>
                  </a:ext>
                </a:extLst>
              </xdr:cNvPr>
              <xdr:cNvGrpSpPr/>
            </xdr:nvGrpSpPr>
            <xdr:grpSpPr>
              <a:xfrm>
                <a:off x="7233025" y="307790"/>
                <a:ext cx="2211295" cy="1307353"/>
                <a:chOff x="7233025" y="307790"/>
                <a:chExt cx="2211295" cy="1307353"/>
              </a:xfrm>
            </xdr:grpSpPr>
            <xdr:sp macro="" textlink="">
              <xdr:nvSpPr>
                <xdr:cNvPr id="19" name="Rectangle : coins arrondis 18">
                  <a:extLst>
                    <a:ext uri="{FF2B5EF4-FFF2-40B4-BE49-F238E27FC236}">
                      <a16:creationId xmlns:a16="http://schemas.microsoft.com/office/drawing/2014/main" id="{71468F18-740C-9A5B-D688-787C05393228}"/>
                    </a:ext>
                  </a:extLst>
                </xdr:cNvPr>
                <xdr:cNvSpPr/>
              </xdr:nvSpPr>
              <xdr:spPr>
                <a:xfrm>
                  <a:off x="7233025" y="307790"/>
                  <a:ext cx="2211295" cy="1307353"/>
                </a:xfrm>
                <a:prstGeom prst="roundRect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fr-FR" sz="2000" b="1">
                      <a:solidFill>
                        <a:sysClr val="windowText" lastClr="000000"/>
                      </a:solidFill>
                    </a:rPr>
                    <a:t>Finance</a:t>
                  </a:r>
                  <a:endParaRPr lang="fr-TN" sz="20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[1]pivot!C7">
              <xdr:nvSpPr>
                <xdr:cNvPr id="20" name="ZoneTexte 19">
                  <a:extLst>
                    <a:ext uri="{FF2B5EF4-FFF2-40B4-BE49-F238E27FC236}">
                      <a16:creationId xmlns:a16="http://schemas.microsoft.com/office/drawing/2014/main" id="{FB26CB69-7290-401B-FD58-F29F98331B10}"/>
                    </a:ext>
                  </a:extLst>
                </xdr:cNvPr>
                <xdr:cNvSpPr txBox="1"/>
              </xdr:nvSpPr>
              <xdr:spPr>
                <a:xfrm>
                  <a:off x="7845610" y="927846"/>
                  <a:ext cx="992760" cy="531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marL="0" indent="0" algn="ctr"/>
                  <a:fld id="{0D5ACF05-B2EE-4390-BBE7-62077AB4DE67}" type="TxLink">
                    <a:rPr lang="en-US" sz="3200" b="1" i="0" u="none" strike="noStrike">
                      <a:solidFill>
                        <a:srgbClr val="FF0000"/>
                      </a:solidFill>
                      <a:latin typeface="Aptos Narrow"/>
                      <a:ea typeface="Calibri"/>
                      <a:cs typeface="Calibri"/>
                    </a:rPr>
                    <a:pPr marL="0" indent="0" algn="ctr"/>
                    <a:t>6</a:t>
                  </a:fld>
                  <a:endParaRPr lang="fr-FR" sz="3200" b="1" i="0" u="none" strike="noStrike">
                    <a:solidFill>
                      <a:srgbClr val="FF0000"/>
                    </a:solidFill>
                    <a:latin typeface="Aptos Narrow"/>
                    <a:ea typeface="Calibri"/>
                    <a:cs typeface="Calibri"/>
                  </a:endParaRPr>
                </a:p>
              </xdr:txBody>
            </xdr:sp>
          </xdr:grpSp>
          <xdr:grpSp>
            <xdr:nvGrpSpPr>
              <xdr:cNvPr id="16" name="Groupe 15">
                <a:extLst>
                  <a:ext uri="{FF2B5EF4-FFF2-40B4-BE49-F238E27FC236}">
                    <a16:creationId xmlns:a16="http://schemas.microsoft.com/office/drawing/2014/main" id="{4151779B-B6E4-EC77-F700-A844030629BD}"/>
                  </a:ext>
                </a:extLst>
              </xdr:cNvPr>
              <xdr:cNvGrpSpPr/>
            </xdr:nvGrpSpPr>
            <xdr:grpSpPr>
              <a:xfrm>
                <a:off x="9619131" y="325719"/>
                <a:ext cx="2211295" cy="1307353"/>
                <a:chOff x="9619131" y="325719"/>
                <a:chExt cx="2211295" cy="1307353"/>
              </a:xfrm>
            </xdr:grpSpPr>
            <xdr:sp macro="" textlink="">
              <xdr:nvSpPr>
                <xdr:cNvPr id="17" name="Rectangle : coins arrondis 16">
                  <a:extLst>
                    <a:ext uri="{FF2B5EF4-FFF2-40B4-BE49-F238E27FC236}">
                      <a16:creationId xmlns:a16="http://schemas.microsoft.com/office/drawing/2014/main" id="{EA6B3230-B5CA-9AC2-F709-037E4AD0E97F}"/>
                    </a:ext>
                  </a:extLst>
                </xdr:cNvPr>
                <xdr:cNvSpPr/>
              </xdr:nvSpPr>
              <xdr:spPr>
                <a:xfrm>
                  <a:off x="9619131" y="325719"/>
                  <a:ext cx="2211295" cy="1307353"/>
                </a:xfrm>
                <a:prstGeom prst="roundRect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fr-FR" sz="2000" b="1">
                      <a:solidFill>
                        <a:sysClr val="windowText" lastClr="000000"/>
                      </a:solidFill>
                    </a:rPr>
                    <a:t>Convention</a:t>
                  </a:r>
                  <a:r>
                    <a:rPr lang="fr-FR" sz="2000" b="1" baseline="0">
                      <a:solidFill>
                        <a:sysClr val="windowText" lastClr="000000"/>
                      </a:solidFill>
                    </a:rPr>
                    <a:t> signée</a:t>
                  </a:r>
                  <a:endParaRPr lang="fr-TN" sz="20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[1]pivot!C8">
              <xdr:nvSpPr>
                <xdr:cNvPr id="18" name="ZoneTexte 17">
                  <a:extLst>
                    <a:ext uri="{FF2B5EF4-FFF2-40B4-BE49-F238E27FC236}">
                      <a16:creationId xmlns:a16="http://schemas.microsoft.com/office/drawing/2014/main" id="{8A3FB14E-7C18-D797-2905-209CDDAB81EA}"/>
                    </a:ext>
                  </a:extLst>
                </xdr:cNvPr>
                <xdr:cNvSpPr txBox="1"/>
              </xdr:nvSpPr>
              <xdr:spPr>
                <a:xfrm>
                  <a:off x="10261598" y="938301"/>
                  <a:ext cx="992760" cy="531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marL="0" indent="0" algn="ctr"/>
                  <a:fld id="{B017BE0A-F938-41B8-B049-1662D9C57762}" type="TxLink">
                    <a:rPr lang="en-US" sz="3200" b="1" i="0" u="none" strike="noStrike">
                      <a:solidFill>
                        <a:srgbClr val="FF0000"/>
                      </a:solidFill>
                      <a:latin typeface="Aptos Narrow"/>
                      <a:ea typeface="Calibri"/>
                      <a:cs typeface="Calibri"/>
                    </a:rPr>
                    <a:pPr marL="0" indent="0" algn="ctr"/>
                    <a:t>1</a:t>
                  </a:fld>
                  <a:endParaRPr lang="fr-FR" sz="3200" b="1" i="0" u="none" strike="noStrike">
                    <a:solidFill>
                      <a:srgbClr val="FF0000"/>
                    </a:solidFill>
                    <a:latin typeface="Aptos Narrow"/>
                    <a:ea typeface="Calibri"/>
                    <a:cs typeface="Calibri"/>
                  </a:endParaRPr>
                </a:p>
              </xdr:txBody>
            </xdr:sp>
          </xdr:grpSp>
        </xdr:grpSp>
        <xdr:pic>
          <xdr:nvPicPr>
            <xdr:cNvPr id="7" name="Graphique 6" descr="Badge coche contour">
              <a:extLst>
                <a:ext uri="{FF2B5EF4-FFF2-40B4-BE49-F238E27FC236}">
                  <a16:creationId xmlns:a16="http://schemas.microsoft.com/office/drawing/2014/main" id="{C407D6D0-E97A-1668-C047-769237C8DF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11474824" y="1322293"/>
              <a:ext cx="730810" cy="729209"/>
            </a:xfrm>
            <a:prstGeom prst="rect">
              <a:avLst/>
            </a:prstGeom>
          </xdr:spPr>
        </xdr:pic>
        <xdr:pic>
          <xdr:nvPicPr>
            <xdr:cNvPr id="8" name="Graphique 7" descr="Loupe avec un remplissage uni">
              <a:extLst>
                <a:ext uri="{FF2B5EF4-FFF2-40B4-BE49-F238E27FC236}">
                  <a16:creationId xmlns:a16="http://schemas.microsoft.com/office/drawing/2014/main" id="{07248DA6-014B-1130-B265-E30C5FEDE0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1867647" y="1419412"/>
              <a:ext cx="520944" cy="524523"/>
            </a:xfrm>
            <a:prstGeom prst="rect">
              <a:avLst/>
            </a:prstGeom>
          </xdr:spPr>
        </xdr:pic>
        <xdr:pic>
          <xdr:nvPicPr>
            <xdr:cNvPr id="9" name="Graphique 8" descr="Flèche en cercle avec un remplissage uni">
              <a:extLst>
                <a:ext uri="{FF2B5EF4-FFF2-40B4-BE49-F238E27FC236}">
                  <a16:creationId xmlns:a16="http://schemas.microsoft.com/office/drawing/2014/main" id="{2078F3CD-B869-DE97-647E-67C2CE3B34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4168591" y="1352174"/>
              <a:ext cx="649941" cy="654296"/>
            </a:xfrm>
            <a:prstGeom prst="rect">
              <a:avLst/>
            </a:prstGeom>
          </xdr:spPr>
        </xdr:pic>
        <xdr:pic>
          <xdr:nvPicPr>
            <xdr:cNvPr id="10" name="Graphique 9" descr="Marteau d'officiel contour">
              <a:extLst>
                <a:ext uri="{FF2B5EF4-FFF2-40B4-BE49-F238E27FC236}">
                  <a16:creationId xmlns:a16="http://schemas.microsoft.com/office/drawing/2014/main" id="{EDEB7F0B-A145-2DFB-E128-AA3BBD8D4AA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6618944" y="1352176"/>
              <a:ext cx="620059" cy="620059"/>
            </a:xfrm>
            <a:prstGeom prst="rect">
              <a:avLst/>
            </a:prstGeom>
          </xdr:spPr>
        </xdr:pic>
        <xdr:pic>
          <xdr:nvPicPr>
            <xdr:cNvPr id="11" name="Graphique 10" descr="Calculatrice avec un remplissage uni">
              <a:extLst>
                <a:ext uri="{FF2B5EF4-FFF2-40B4-BE49-F238E27FC236}">
                  <a16:creationId xmlns:a16="http://schemas.microsoft.com/office/drawing/2014/main" id="{68887213-F66B-F736-DD6A-E650E42317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9106656" y="1329764"/>
              <a:ext cx="634996" cy="637989"/>
            </a:xfrm>
            <a:prstGeom prst="rect">
              <a:avLst/>
            </a:prstGeom>
          </xdr:spPr>
        </xdr:pic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gonline-my.sharepoint.com/personal/hamadi_chkondali_smg_com_tn/Documents/Documents/hamadi/grands%20compte/hamadi/dashbord%20convention/table%20vente/2025/TDC%20CONVENTION%201.xlsm" TargetMode="External"/><Relationship Id="rId1" Type="http://schemas.openxmlformats.org/officeDocument/2006/relationships/externalLinkPath" Target="TDC%20CONVENTION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E CONVENTION"/>
      <sheetName val="Conventions signées"/>
      <sheetName val="convention en cours"/>
      <sheetName val="sourcing"/>
      <sheetName val="pivot"/>
      <sheetName val="Matrice Potentiel x Maturité"/>
      <sheetName val="source"/>
      <sheetName val="Factures ventes enregistrées VC"/>
      <sheetName val="Feuil2"/>
      <sheetName val="Feuil5"/>
      <sheetName val="Feuil1"/>
      <sheetName val="2025"/>
      <sheetName val="Feuil9"/>
      <sheetName val="2024"/>
      <sheetName val="Feuil10"/>
      <sheetName val="2023"/>
      <sheetName val="Feuil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 1" id="{7D839FCA-BC8E-4A2E-9391-13925473FEF8}">
    <nsvFilter filterId="{CCA6D45D-4712-4DED-B912-BC3F9F7209DB}" ref="A13:Z76" tableId="1">
      <columnFilter colId="18" id="{9130FC91-3AB4-43E4-AFB2-36A5C1EF1EF5}">
        <filter colId="18">
          <x:filters>
            <x:filter val="En cours"/>
            <x:filter val="Non démarré"/>
          </x:filters>
        </filter>
      </columnFilter>
      <sortRules>
        <sortRule colId="10" id="{332E9C82-307B-4B40-8CDB-16C0EFC4C224}">
          <sortCondition descending="1" ref="K13:K76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33643-16D9-4CC9-91FB-B3E1343C8C7E}" name="Tableau1" displayName="Tableau1" ref="A13:Z77" totalsRowCount="1" headerRowDxfId="43" headerRowBorderDxfId="41" tableBorderDxfId="42">
  <autoFilter ref="A13:Z76" xr:uid="{CCA6D45D-4712-4DED-B912-BC3F9F7209DB}"/>
  <tableColumns count="26">
    <tableColumn id="1" xr3:uid="{14F65FB6-3B6C-452B-BE75-3A785846DC83}" name="Colonne1" dataDxfId="39" totalsRowDxfId="40"/>
    <tableColumn id="2" xr3:uid="{CD0D8E94-9BEA-4D3F-B7BA-F11C476F5F00}" name="conventions en cours" dataDxfId="38"/>
    <tableColumn id="4" xr3:uid="{92821EFE-78C7-4B44-94F4-317271934918}" name="Nbr d'effectifs" dataDxfId="37"/>
    <tableColumn id="12" xr3:uid="{20DBA28E-DDD9-4148-8970-428779FCF347}" name="coordonnées" dataDxfId="36"/>
    <tableColumn id="13" xr3:uid="{F6024E0A-54DF-40AB-9B03-5DC21CB739F8}" name="contacts" dataDxfId="35"/>
    <tableColumn id="14" xr3:uid="{42D4715C-5908-4376-8028-5635DF8B70BF}" name="Commentaires" dataDxfId="34"/>
    <tableColumn id="23" xr3:uid="{E102E894-429F-4975-A4FC-7AEC354615E5}" name="EMAIL" dataDxfId="33" dataCellStyle="Lien hypertexte"/>
    <tableColumn id="21" xr3:uid="{7E2AA3CA-48A5-4E5B-A2C6-E0ADFEF4927D}" name="RANKING" dataDxfId="31" totalsRowDxfId="32"/>
    <tableColumn id="17" xr3:uid="{5FAC91C7-6D0F-41CC-8E72-1A5821DE3332}" name="prise de contact" dataDxfId="29" totalsRowDxfId="30"/>
    <tableColumn id="9" xr3:uid="{D74297ED-10A2-4A74-AE18-A247EF3ECEB0}" name="date prise de contact" dataDxfId="27" totalsRowDxfId="28"/>
    <tableColumn id="3" xr3:uid="{332E9C82-307B-4B40-8CDB-16C0EFC4C224}" name="validation client" dataDxfId="25" totalsRowDxfId="26"/>
    <tableColumn id="10" xr3:uid="{172D17EB-A5ED-44FF-A1E9-382EA66609A3}" name="date validation client" dataDxfId="23" totalsRowDxfId="24"/>
    <tableColumn id="5" xr3:uid="{2CF90AF4-51A5-4688-AAF1-1946A90345ED}" name="juridique" dataDxfId="21" totalsRowDxfId="22"/>
    <tableColumn id="11" xr3:uid="{1805B141-D443-407C-9528-834A7B5138AA}" name="date juridique" dataDxfId="19" totalsRowDxfId="20"/>
    <tableColumn id="6" xr3:uid="{0ADEAE80-27C4-4A19-AD5D-85F86CBEBC24}" name="finance" dataDxfId="17" totalsRowDxfId="18"/>
    <tableColumn id="15" xr3:uid="{376DAE76-A3F0-453A-B65F-A82E64C50ABC}" name="date fianance" dataDxfId="15" totalsRowDxfId="16"/>
    <tableColumn id="18" xr3:uid="{7B7DC0FE-CD60-412D-9A6F-C5D977B2F468}" name="signature " dataDxfId="13" totalsRowDxfId="14"/>
    <tableColumn id="16" xr3:uid="{C0432EE4-D7D9-4EF3-966E-87411F7B41C7}" name="date signature " dataDxfId="11" totalsRowDxfId="12"/>
    <tableColumn id="19" xr3:uid="{9130FC91-3AB4-43E4-AFB2-36A5C1EF1EF5}" name="AVANCEMENT2" dataDxfId="9" totalsRowDxfId="10">
      <calculatedColumnFormula>IF(AND(I14=TRUE,K14=TRUE,M14=TRUE,O14=TRUE,Q14=TRUE),"Clôturé",
IF(OR(I14=TRUE,K14=TRUE,M14=TRUE,O14=TRUE),"En cours",
"Non démarré"))</calculatedColumnFormula>
    </tableColumn>
    <tableColumn id="8" xr3:uid="{2E401585-78DF-4DBD-A2C0-C3D1C4F646E8}" name="prospection" dataDxfId="7" totalsRowDxfId="8"/>
    <tableColumn id="20" xr3:uid="{41159104-0D3B-44FB-8C5F-991756C09D61}" name="COMMENTAIRE" dataDxfId="5" totalsRowDxfId="6"/>
    <tableColumn id="24" xr3:uid="{515310CB-1BC5-4850-8C80-6CEDE032FF67}" name="Colonne2" dataDxfId="4">
      <calculatedColumnFormula>IF(I14=TRUE,1,0)</calculatedColumnFormula>
    </tableColumn>
    <tableColumn id="25" xr3:uid="{30935027-E1EF-4BC5-92C6-9D037D28D53C}" name="Colonne3" dataDxfId="3">
      <calculatedColumnFormula>IF(K14=TRUE,1,0)</calculatedColumnFormula>
    </tableColumn>
    <tableColumn id="26" xr3:uid="{CED05A13-54F1-4808-BC70-F7148E1F9C0A}" name="Colonne4" dataDxfId="2">
      <calculatedColumnFormula>IF(M14=TRUE,1,0)</calculatedColumnFormula>
    </tableColumn>
    <tableColumn id="27" xr3:uid="{AFB4B624-A6F6-412D-A1CB-589C6201E8D6}" name="Colonne5" dataDxfId="1">
      <calculatedColumnFormula>IF(O14=TRUE,1,0)</calculatedColumnFormula>
    </tableColumn>
    <tableColumn id="28" xr3:uid="{34272FEF-98F6-4A1D-B7D4-8EC82CDCA6BA}" name="Colonne6" dataDxfId="0">
      <calculatedColumnFormula>IF(Q14=TRUE,1,0)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ed.smida@leoni.com" TargetMode="External"/><Relationship Id="rId13" Type="http://schemas.openxmlformats.org/officeDocument/2006/relationships/hyperlink" Target="mailto:atccnss2021@gmail.com" TargetMode="External"/><Relationship Id="rId18" Type="http://schemas.openxmlformats.org/officeDocument/2006/relationships/hyperlink" Target="mailto:Heni.Benhmida@discovertunisia.com" TargetMode="External"/><Relationship Id="rId3" Type="http://schemas.openxmlformats.org/officeDocument/2006/relationships/hyperlink" Target="mailto:Mohamednejib.sakka@groupedelice.com.tn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mailto:Amicalecheminots25@gmail.com" TargetMode="External"/><Relationship Id="rId12" Type="http://schemas.openxmlformats.org/officeDocument/2006/relationships/hyperlink" Target="mailto:ksaierriadh@gmail.com" TargetMode="External"/><Relationship Id="rId17" Type="http://schemas.openxmlformats.org/officeDocument/2006/relationships/hyperlink" Target="mailto:mutuelle.ona.denden@gmail.com" TargetMode="External"/><Relationship Id="rId2" Type="http://schemas.openxmlformats.org/officeDocument/2006/relationships/hyperlink" Target="mailto:Sellami.KACEM@vitalait.net" TargetMode="External"/><Relationship Id="rId16" Type="http://schemas.openxmlformats.org/officeDocument/2006/relationships/hyperlink" Target="mailto:lotfi.benmansour@oaca.nat.tn%20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reclamation.bagage@nouvelair.com" TargetMode="External"/><Relationship Id="rId6" Type="http://schemas.openxmlformats.org/officeDocument/2006/relationships/hyperlink" Target="mailto:meriem.boughanmi@assurancesbiat.com.tn" TargetMode="External"/><Relationship Id="rId11" Type="http://schemas.openxmlformats.org/officeDocument/2006/relationships/hyperlink" Target="mailto:culturemutuelle@gmail.com" TargetMode="External"/><Relationship Id="rId5" Type="http://schemas.openxmlformats.org/officeDocument/2006/relationships/hyperlink" Target="mailto:KSTN-Be@kroschu.com" TargetMode="External"/><Relationship Id="rId15" Type="http://schemas.openxmlformats.org/officeDocument/2006/relationships/hyperlink" Target="mailto:Khelifiwahiba17@gmail.com" TargetMode="External"/><Relationship Id="rId23" Type="http://schemas.microsoft.com/office/2019/04/relationships/namedSheetView" Target="../namedSheetViews/namedSheetView1.xml"/><Relationship Id="rId10" Type="http://schemas.openxmlformats.org/officeDocument/2006/relationships/hyperlink" Target="mailto:n.jebali@palmaalu.com" TargetMode="External"/><Relationship Id="rId19" Type="http://schemas.openxmlformats.org/officeDocument/2006/relationships/hyperlink" Target="mailto:aymen.saadi@mnet.tn" TargetMode="External"/><Relationship Id="rId4" Type="http://schemas.openxmlformats.org/officeDocument/2006/relationships/hyperlink" Target="mailto:ahlem.ajmi@allcircuits.com" TargetMode="External"/><Relationship Id="rId9" Type="http://schemas.openxmlformats.org/officeDocument/2006/relationships/hyperlink" Target="mailto:omar.belhadjamor@gmail.com" TargetMode="External"/><Relationship Id="rId14" Type="http://schemas.openxmlformats.org/officeDocument/2006/relationships/hyperlink" Target="mailto:hosni.kouki@sotuver.com.tn/amal.mersani@sotuver.com.tn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714-F293-476F-B198-B41906BC896F}">
  <sheetPr codeName="Feuil14">
    <tabColor theme="5" tint="0.59999389629810485"/>
  </sheetPr>
  <dimension ref="A4:AI77"/>
  <sheetViews>
    <sheetView tabSelected="1" topLeftCell="A4" zoomScale="70" zoomScaleNormal="70" workbookViewId="0">
      <selection activeCell="G72" sqref="G72"/>
    </sheetView>
  </sheetViews>
  <sheetFormatPr baseColWidth="10" defaultRowHeight="14.5" x14ac:dyDescent="0.35"/>
  <cols>
    <col min="2" max="2" width="58.1796875" bestFit="1" customWidth="1"/>
    <col min="3" max="3" width="9.6328125" customWidth="1"/>
    <col min="4" max="4" width="26.36328125" customWidth="1"/>
    <col min="5" max="5" width="18.81640625" customWidth="1"/>
    <col min="6" max="6" width="160.453125" hidden="1" customWidth="1"/>
    <col min="7" max="7" width="36.81640625" customWidth="1"/>
    <col min="8" max="8" width="14.453125" bestFit="1" customWidth="1"/>
    <col min="9" max="9" width="8.453125" customWidth="1"/>
    <col min="10" max="10" width="11" customWidth="1"/>
    <col min="11" max="11" width="9.36328125" customWidth="1"/>
    <col min="12" max="12" width="18.1796875" hidden="1" customWidth="1"/>
    <col min="13" max="13" width="8.90625" customWidth="1"/>
    <col min="14" max="14" width="13" hidden="1" customWidth="1"/>
    <col min="15" max="15" width="7.1796875" customWidth="1"/>
    <col min="16" max="16" width="12.7265625" hidden="1" customWidth="1"/>
    <col min="17" max="17" width="8.453125" customWidth="1"/>
    <col min="18" max="18" width="8.453125" hidden="1" customWidth="1"/>
    <col min="19" max="19" width="13.6328125" customWidth="1"/>
    <col min="20" max="20" width="19.26953125" bestFit="1" customWidth="1"/>
    <col min="21" max="21" width="116.7265625" bestFit="1" customWidth="1"/>
    <col min="22" max="26" width="14.54296875" hidden="1" customWidth="1"/>
    <col min="27" max="27" width="17.26953125" hidden="1" customWidth="1"/>
    <col min="28" max="28" width="0" hidden="1" customWidth="1"/>
    <col min="29" max="29" width="14.54296875" hidden="1" customWidth="1"/>
    <col min="30" max="30" width="101.08984375" hidden="1" customWidth="1"/>
    <col min="31" max="31" width="14" hidden="1" customWidth="1"/>
    <col min="32" max="32" width="13.81640625" hidden="1" customWidth="1"/>
    <col min="33" max="33" width="114.453125" hidden="1" customWidth="1"/>
    <col min="34" max="34" width="0" hidden="1" customWidth="1"/>
    <col min="35" max="35" width="188.08984375" hidden="1" customWidth="1"/>
  </cols>
  <sheetData>
    <row r="4" spans="1:35" x14ac:dyDescent="0.35">
      <c r="G4" t="s">
        <v>0</v>
      </c>
      <c r="U4" s="1"/>
    </row>
    <row r="13" spans="1:35" ht="36.5" customHeight="1" x14ac:dyDescent="0.35">
      <c r="A13" s="2" t="s">
        <v>1</v>
      </c>
      <c r="B13" s="3" t="s">
        <v>2</v>
      </c>
      <c r="C13" s="4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5" t="s">
        <v>8</v>
      </c>
      <c r="I13" s="6" t="s">
        <v>9</v>
      </c>
      <c r="J13" s="6" t="s">
        <v>10</v>
      </c>
      <c r="K13" s="6" t="s">
        <v>11</v>
      </c>
      <c r="L13" s="6" t="s">
        <v>12</v>
      </c>
      <c r="M13" s="6" t="s">
        <v>13</v>
      </c>
      <c r="N13" s="6" t="s">
        <v>14</v>
      </c>
      <c r="O13" s="6" t="s">
        <v>15</v>
      </c>
      <c r="P13" s="6" t="s">
        <v>16</v>
      </c>
      <c r="Q13" s="6" t="s">
        <v>17</v>
      </c>
      <c r="R13" s="6" t="s">
        <v>18</v>
      </c>
      <c r="S13" s="6" t="s">
        <v>19</v>
      </c>
      <c r="T13" s="7" t="s">
        <v>20</v>
      </c>
      <c r="U13" s="8" t="s">
        <v>21</v>
      </c>
      <c r="V13" s="9" t="s">
        <v>22</v>
      </c>
      <c r="W13" s="9" t="s">
        <v>23</v>
      </c>
      <c r="X13" s="9" t="s">
        <v>24</v>
      </c>
      <c r="Y13" s="9" t="s">
        <v>25</v>
      </c>
      <c r="Z13" s="9" t="s">
        <v>26</v>
      </c>
      <c r="AA13" s="3" t="s">
        <v>27</v>
      </c>
      <c r="AB13" s="3" t="s">
        <v>28</v>
      </c>
      <c r="AC13" s="3" t="s">
        <v>29</v>
      </c>
      <c r="AD13" s="3" t="s">
        <v>30</v>
      </c>
      <c r="AE13" s="3" t="s">
        <v>31</v>
      </c>
      <c r="AF13" s="3" t="s">
        <v>32</v>
      </c>
      <c r="AG13" s="3" t="s">
        <v>33</v>
      </c>
      <c r="AH13" s="3" t="s">
        <v>34</v>
      </c>
      <c r="AI13" s="3" t="s">
        <v>35</v>
      </c>
    </row>
    <row r="14" spans="1:35" ht="36.5" customHeight="1" x14ac:dyDescent="0.35">
      <c r="A14" s="10">
        <v>4</v>
      </c>
      <c r="B14" s="11" t="s">
        <v>36</v>
      </c>
      <c r="C14" s="11">
        <v>650</v>
      </c>
      <c r="D14" s="11" t="s">
        <v>37</v>
      </c>
      <c r="E14" s="11">
        <v>50543878</v>
      </c>
      <c r="F14" s="11" t="s">
        <v>38</v>
      </c>
      <c r="G14" s="12" t="s">
        <v>39</v>
      </c>
      <c r="H14" s="13" t="s">
        <v>40</v>
      </c>
      <c r="I14" s="14" t="b">
        <v>1</v>
      </c>
      <c r="J14" s="15">
        <v>45840</v>
      </c>
      <c r="K14" s="14" t="b">
        <v>1</v>
      </c>
      <c r="L14" s="15">
        <v>45819</v>
      </c>
      <c r="M14" s="14" t="b">
        <v>1</v>
      </c>
      <c r="N14" s="15">
        <v>45819</v>
      </c>
      <c r="O14" s="14" t="b">
        <v>1</v>
      </c>
      <c r="P14" s="15">
        <v>45819</v>
      </c>
      <c r="Q14" s="14" t="b">
        <v>1</v>
      </c>
      <c r="R14" s="15">
        <v>45819</v>
      </c>
      <c r="S14" s="11" t="str">
        <f t="shared" ref="S14:S76" si="0">IF(AND(I14=TRUE,K14=TRUE,M14=TRUE,O14=TRUE,Q14=TRUE),"Clôturé",
IF(OR(I14=TRUE,K14=TRUE,M14=TRUE,O14=TRUE),"En cours",
"Non démarré"))</f>
        <v>Clôturé</v>
      </c>
      <c r="T14" s="16" t="s">
        <v>41</v>
      </c>
      <c r="U14" s="16" t="s">
        <v>42</v>
      </c>
      <c r="V14" s="16">
        <f t="shared" ref="V14:V76" si="1">IF(I14=TRUE,1,0)</f>
        <v>1</v>
      </c>
      <c r="W14" s="16">
        <f t="shared" ref="W14:W76" si="2">IF(K14=TRUE,1,0)</f>
        <v>1</v>
      </c>
      <c r="X14" s="16">
        <f t="shared" ref="X14:X76" si="3">IF(M14=TRUE,1,0)</f>
        <v>1</v>
      </c>
      <c r="Y14" s="16">
        <f t="shared" ref="Y14:Y76" si="4">IF(O14=TRUE,1,0)</f>
        <v>1</v>
      </c>
      <c r="Z14" s="16">
        <f t="shared" ref="Z14:Z76" si="5">IF(Q14=TRUE,1,0)</f>
        <v>1</v>
      </c>
      <c r="AA14" s="11" t="s">
        <v>43</v>
      </c>
      <c r="AB14" s="11"/>
      <c r="AC14" s="11"/>
      <c r="AD14" s="11"/>
      <c r="AE14" s="11"/>
      <c r="AF14" s="11"/>
      <c r="AG14" s="11"/>
      <c r="AH14" s="11" t="s">
        <v>44</v>
      </c>
      <c r="AI14" s="11"/>
    </row>
    <row r="15" spans="1:35" ht="36.5" customHeight="1" x14ac:dyDescent="0.35">
      <c r="A15" s="10">
        <v>30</v>
      </c>
      <c r="B15" s="17" t="s">
        <v>45</v>
      </c>
      <c r="C15" s="11">
        <v>700</v>
      </c>
      <c r="D15" s="11" t="s">
        <v>46</v>
      </c>
      <c r="E15" s="11">
        <v>27445341</v>
      </c>
      <c r="F15" s="11" t="s">
        <v>47</v>
      </c>
      <c r="G15" s="18" t="s">
        <v>48</v>
      </c>
      <c r="H15" s="13" t="s">
        <v>40</v>
      </c>
      <c r="I15" s="14" t="b">
        <v>1</v>
      </c>
      <c r="J15" s="15">
        <v>45819</v>
      </c>
      <c r="K15" s="14" t="b">
        <v>1</v>
      </c>
      <c r="L15" s="15">
        <v>45820</v>
      </c>
      <c r="M15" s="14" t="b">
        <v>1</v>
      </c>
      <c r="N15" s="15">
        <v>45820</v>
      </c>
      <c r="O15" s="14" t="b">
        <v>1</v>
      </c>
      <c r="P15" s="15">
        <v>45832</v>
      </c>
      <c r="Q15" s="14" t="b">
        <v>0</v>
      </c>
      <c r="R15" s="15"/>
      <c r="S15" s="11" t="str">
        <f t="shared" si="0"/>
        <v>En cours</v>
      </c>
      <c r="T15" s="16" t="s">
        <v>49</v>
      </c>
      <c r="U15" s="19" t="s">
        <v>50</v>
      </c>
      <c r="V15" s="16">
        <f t="shared" si="1"/>
        <v>1</v>
      </c>
      <c r="W15" s="16">
        <f t="shared" si="2"/>
        <v>1</v>
      </c>
      <c r="X15" s="16">
        <f t="shared" si="3"/>
        <v>1</v>
      </c>
      <c r="Y15" s="16">
        <f t="shared" si="4"/>
        <v>1</v>
      </c>
      <c r="Z15" s="16">
        <f t="shared" si="5"/>
        <v>0</v>
      </c>
      <c r="AA15" s="11" t="s">
        <v>51</v>
      </c>
      <c r="AB15" s="11">
        <v>650</v>
      </c>
      <c r="AC15" s="11"/>
      <c r="AD15" s="11"/>
      <c r="AE15" s="11"/>
      <c r="AF15" s="11"/>
      <c r="AG15" s="11"/>
      <c r="AH15" s="11" t="s">
        <v>52</v>
      </c>
      <c r="AI15" s="11"/>
    </row>
    <row r="16" spans="1:35" ht="43.5" x14ac:dyDescent="0.35">
      <c r="A16" s="10"/>
      <c r="B16" s="17" t="s">
        <v>53</v>
      </c>
      <c r="C16" s="11"/>
      <c r="D16" s="11" t="s">
        <v>54</v>
      </c>
      <c r="E16" s="11">
        <v>93009074</v>
      </c>
      <c r="F16" s="11"/>
      <c r="G16" s="11" t="s">
        <v>55</v>
      </c>
      <c r="H16" s="13" t="s">
        <v>56</v>
      </c>
      <c r="I16" s="14" t="b">
        <v>1</v>
      </c>
      <c r="J16" s="15">
        <v>45820</v>
      </c>
      <c r="K16" s="14" t="b">
        <v>1</v>
      </c>
      <c r="L16" s="15">
        <v>45824</v>
      </c>
      <c r="M16" s="14" t="b">
        <v>1</v>
      </c>
      <c r="N16" s="15">
        <v>45824</v>
      </c>
      <c r="O16" s="14" t="b">
        <v>1</v>
      </c>
      <c r="P16" s="15">
        <v>45832</v>
      </c>
      <c r="Q16" s="20" t="s">
        <v>57</v>
      </c>
      <c r="R16" s="15">
        <v>45889</v>
      </c>
      <c r="S16" s="11" t="str">
        <f t="shared" si="0"/>
        <v>En cours</v>
      </c>
      <c r="T16" s="16" t="s">
        <v>49</v>
      </c>
      <c r="U16" s="19" t="s">
        <v>58</v>
      </c>
      <c r="V16" s="16">
        <f t="shared" si="1"/>
        <v>1</v>
      </c>
      <c r="W16" s="16">
        <f t="shared" si="2"/>
        <v>1</v>
      </c>
      <c r="X16" s="16">
        <f t="shared" si="3"/>
        <v>1</v>
      </c>
      <c r="Y16" s="16">
        <f t="shared" si="4"/>
        <v>1</v>
      </c>
      <c r="Z16" s="16">
        <f t="shared" si="5"/>
        <v>0</v>
      </c>
      <c r="AA16" s="11" t="s">
        <v>51</v>
      </c>
      <c r="AB16" s="11"/>
      <c r="AC16" s="11"/>
      <c r="AD16" s="11"/>
      <c r="AE16" s="11"/>
      <c r="AF16" s="11"/>
      <c r="AG16" s="11"/>
      <c r="AH16" s="11" t="s">
        <v>59</v>
      </c>
      <c r="AI16" s="11"/>
    </row>
    <row r="17" spans="1:35" ht="145" x14ac:dyDescent="0.35">
      <c r="A17" s="10">
        <v>38</v>
      </c>
      <c r="B17" s="17" t="s">
        <v>60</v>
      </c>
      <c r="C17" s="11"/>
      <c r="D17" s="11" t="s">
        <v>61</v>
      </c>
      <c r="E17" s="11">
        <v>29923033</v>
      </c>
      <c r="F17" s="11"/>
      <c r="G17" s="21" t="s">
        <v>62</v>
      </c>
      <c r="H17" s="13" t="s">
        <v>56</v>
      </c>
      <c r="I17" s="14" t="b">
        <v>1</v>
      </c>
      <c r="J17" s="15">
        <v>45820</v>
      </c>
      <c r="K17" s="14" t="b">
        <v>1</v>
      </c>
      <c r="L17" s="15">
        <v>45832</v>
      </c>
      <c r="M17" s="14" t="b">
        <v>0</v>
      </c>
      <c r="N17" s="15"/>
      <c r="O17" s="14" t="b">
        <v>1</v>
      </c>
      <c r="P17" s="15">
        <v>45849</v>
      </c>
      <c r="Q17" s="14" t="b">
        <v>0</v>
      </c>
      <c r="R17" s="15"/>
      <c r="S17" s="11" t="str">
        <f t="shared" si="0"/>
        <v>En cours</v>
      </c>
      <c r="T17" s="16" t="s">
        <v>49</v>
      </c>
      <c r="U17" s="19" t="s">
        <v>63</v>
      </c>
      <c r="V17" s="16">
        <f t="shared" si="1"/>
        <v>1</v>
      </c>
      <c r="W17" s="16">
        <f t="shared" si="2"/>
        <v>1</v>
      </c>
      <c r="X17" s="16">
        <f t="shared" si="3"/>
        <v>0</v>
      </c>
      <c r="Y17" s="16">
        <f t="shared" si="4"/>
        <v>1</v>
      </c>
      <c r="Z17" s="16">
        <f t="shared" si="5"/>
        <v>0</v>
      </c>
      <c r="AA17" s="11" t="s">
        <v>64</v>
      </c>
      <c r="AB17" s="11"/>
      <c r="AC17" s="11"/>
      <c r="AD17" s="11"/>
      <c r="AE17" s="11"/>
      <c r="AF17" s="11"/>
      <c r="AG17" s="11"/>
      <c r="AH17" s="11" t="s">
        <v>59</v>
      </c>
      <c r="AI17" s="11"/>
    </row>
    <row r="18" spans="1:35" ht="87" x14ac:dyDescent="0.35">
      <c r="A18" s="10">
        <v>31</v>
      </c>
      <c r="B18" s="17" t="s">
        <v>65</v>
      </c>
      <c r="C18" s="11">
        <v>700</v>
      </c>
      <c r="D18" s="11" t="s">
        <v>66</v>
      </c>
      <c r="E18" s="11">
        <v>22177815</v>
      </c>
      <c r="F18" s="11" t="s">
        <v>67</v>
      </c>
      <c r="G18" s="22" t="s">
        <v>68</v>
      </c>
      <c r="H18" s="13"/>
      <c r="I18" s="14" t="b">
        <v>1</v>
      </c>
      <c r="J18" s="15">
        <v>45831</v>
      </c>
      <c r="K18" s="14" t="b">
        <v>1</v>
      </c>
      <c r="L18" s="15">
        <v>45848</v>
      </c>
      <c r="M18" s="14" t="b">
        <v>0</v>
      </c>
      <c r="N18" s="15"/>
      <c r="O18" s="14" t="b">
        <v>1</v>
      </c>
      <c r="P18" s="15">
        <v>45848</v>
      </c>
      <c r="Q18" s="14" t="b">
        <v>0</v>
      </c>
      <c r="R18" s="15"/>
      <c r="S18" s="11" t="str">
        <f t="shared" si="0"/>
        <v>En cours</v>
      </c>
      <c r="T18" s="16" t="s">
        <v>41</v>
      </c>
      <c r="U18" s="19" t="s">
        <v>69</v>
      </c>
      <c r="V18" s="16">
        <f t="shared" si="1"/>
        <v>1</v>
      </c>
      <c r="W18" s="16">
        <f t="shared" si="2"/>
        <v>1</v>
      </c>
      <c r="X18" s="16">
        <f t="shared" si="3"/>
        <v>0</v>
      </c>
      <c r="Y18" s="16">
        <f t="shared" si="4"/>
        <v>1</v>
      </c>
      <c r="Z18" s="16">
        <f t="shared" si="5"/>
        <v>0</v>
      </c>
      <c r="AA18" s="11" t="s">
        <v>64</v>
      </c>
      <c r="AB18" s="11">
        <v>400</v>
      </c>
      <c r="AC18" s="11"/>
      <c r="AD18" s="11"/>
      <c r="AE18" s="11">
        <v>7.4999999999999997E-3</v>
      </c>
      <c r="AF18" s="11"/>
      <c r="AG18" s="11"/>
      <c r="AH18" s="11" t="s">
        <v>44</v>
      </c>
      <c r="AI18" s="11"/>
    </row>
    <row r="19" spans="1:35" ht="72.5" x14ac:dyDescent="0.35">
      <c r="A19" s="10"/>
      <c r="B19" s="17" t="s">
        <v>70</v>
      </c>
      <c r="C19" s="23">
        <v>38</v>
      </c>
      <c r="D19" s="23" t="s">
        <v>71</v>
      </c>
      <c r="E19" s="11">
        <v>51087823</v>
      </c>
      <c r="F19" s="24"/>
      <c r="G19" s="23" t="s">
        <v>72</v>
      </c>
      <c r="H19" s="13"/>
      <c r="I19" s="14" t="b">
        <v>1</v>
      </c>
      <c r="J19" s="15">
        <v>45826</v>
      </c>
      <c r="K19" s="14" t="b">
        <v>1</v>
      </c>
      <c r="L19" s="15">
        <v>45848</v>
      </c>
      <c r="M19" s="14"/>
      <c r="N19" s="15"/>
      <c r="O19" s="14" t="b">
        <v>1</v>
      </c>
      <c r="P19" s="15">
        <v>45848</v>
      </c>
      <c r="Q19" s="14"/>
      <c r="R19" s="15"/>
      <c r="S19" s="11" t="str">
        <f t="shared" si="0"/>
        <v>En cours</v>
      </c>
      <c r="T19" s="16" t="s">
        <v>49</v>
      </c>
      <c r="U19" s="19" t="s">
        <v>73</v>
      </c>
      <c r="V19" s="16">
        <f t="shared" si="1"/>
        <v>1</v>
      </c>
      <c r="W19" s="16">
        <f t="shared" si="2"/>
        <v>1</v>
      </c>
      <c r="X19" s="16">
        <f t="shared" si="3"/>
        <v>0</v>
      </c>
      <c r="Y19" s="16">
        <f t="shared" si="4"/>
        <v>1</v>
      </c>
      <c r="Z19" s="16">
        <f t="shared" si="5"/>
        <v>0</v>
      </c>
      <c r="AA19" s="11" t="s">
        <v>74</v>
      </c>
      <c r="AB19" s="11">
        <v>45</v>
      </c>
      <c r="AC19" s="11" t="s">
        <v>75</v>
      </c>
      <c r="AD19" s="11"/>
      <c r="AE19" s="11">
        <v>7.4999999999999997E-3</v>
      </c>
      <c r="AF19" s="11"/>
      <c r="AG19" s="11"/>
      <c r="AH19" s="11" t="s">
        <v>44</v>
      </c>
      <c r="AI19" s="11"/>
    </row>
    <row r="20" spans="1:35" ht="58" x14ac:dyDescent="0.35">
      <c r="A20" s="10">
        <v>37</v>
      </c>
      <c r="B20" s="17" t="s">
        <v>76</v>
      </c>
      <c r="C20" s="11">
        <v>1500</v>
      </c>
      <c r="D20" s="11" t="s">
        <v>77</v>
      </c>
      <c r="E20" s="11">
        <v>98107908</v>
      </c>
      <c r="F20" s="11" t="s">
        <v>78</v>
      </c>
      <c r="G20" s="21" t="s">
        <v>79</v>
      </c>
      <c r="H20" s="13" t="s">
        <v>56</v>
      </c>
      <c r="I20" s="14" t="b">
        <v>1</v>
      </c>
      <c r="J20" s="15">
        <v>45832</v>
      </c>
      <c r="K20" s="14" t="b">
        <v>1</v>
      </c>
      <c r="L20" s="15">
        <v>45849</v>
      </c>
      <c r="M20" s="14" t="b">
        <v>0</v>
      </c>
      <c r="N20" s="15"/>
      <c r="O20" s="14" t="b">
        <v>0</v>
      </c>
      <c r="P20" s="15"/>
      <c r="Q20" s="14" t="b">
        <v>0</v>
      </c>
      <c r="R20" s="15"/>
      <c r="S20" s="11" t="str">
        <f t="shared" si="0"/>
        <v>En cours</v>
      </c>
      <c r="T20" s="16" t="s">
        <v>49</v>
      </c>
      <c r="U20" s="19" t="s">
        <v>80</v>
      </c>
      <c r="V20" s="16">
        <f t="shared" si="1"/>
        <v>1</v>
      </c>
      <c r="W20" s="16">
        <f t="shared" si="2"/>
        <v>1</v>
      </c>
      <c r="X20" s="16">
        <f t="shared" si="3"/>
        <v>0</v>
      </c>
      <c r="Y20" s="16">
        <f t="shared" si="4"/>
        <v>0</v>
      </c>
      <c r="Z20" s="16">
        <f t="shared" si="5"/>
        <v>0</v>
      </c>
      <c r="AA20" s="11" t="s">
        <v>74</v>
      </c>
      <c r="AB20" s="11"/>
      <c r="AC20" s="11"/>
      <c r="AD20" s="11"/>
      <c r="AE20" s="11">
        <v>7.4999999999999997E-3</v>
      </c>
      <c r="AF20" s="11"/>
      <c r="AG20" s="11"/>
      <c r="AH20" s="11" t="s">
        <v>44</v>
      </c>
      <c r="AI20" s="11"/>
    </row>
    <row r="21" spans="1:35" ht="58" x14ac:dyDescent="0.35">
      <c r="A21" s="10">
        <v>12</v>
      </c>
      <c r="B21" s="24" t="s">
        <v>81</v>
      </c>
      <c r="C21" s="11">
        <v>3000</v>
      </c>
      <c r="D21" s="24" t="s">
        <v>82</v>
      </c>
      <c r="E21" s="24">
        <v>94301828</v>
      </c>
      <c r="F21" s="24" t="s">
        <v>83</v>
      </c>
      <c r="G21" s="24" t="s">
        <v>84</v>
      </c>
      <c r="H21" s="13" t="s">
        <v>56</v>
      </c>
      <c r="I21" s="14" t="b">
        <v>1</v>
      </c>
      <c r="J21" s="15">
        <v>45820</v>
      </c>
      <c r="K21" s="14" t="b">
        <v>1</v>
      </c>
      <c r="L21" s="15">
        <v>45849</v>
      </c>
      <c r="M21" s="14" t="b">
        <v>0</v>
      </c>
      <c r="N21" s="15"/>
      <c r="O21" s="14" t="b">
        <v>0</v>
      </c>
      <c r="P21" s="15"/>
      <c r="Q21" s="14" t="b">
        <v>0</v>
      </c>
      <c r="R21" s="15"/>
      <c r="S21" s="11" t="str">
        <f t="shared" si="0"/>
        <v>En cours</v>
      </c>
      <c r="T21" s="16" t="s">
        <v>41</v>
      </c>
      <c r="U21" s="19" t="s">
        <v>85</v>
      </c>
      <c r="V21" s="16">
        <f t="shared" si="1"/>
        <v>1</v>
      </c>
      <c r="W21" s="16">
        <f t="shared" si="2"/>
        <v>1</v>
      </c>
      <c r="X21" s="16">
        <f t="shared" si="3"/>
        <v>0</v>
      </c>
      <c r="Y21" s="16">
        <f t="shared" si="4"/>
        <v>0</v>
      </c>
      <c r="Z21" s="16">
        <f t="shared" si="5"/>
        <v>0</v>
      </c>
      <c r="AA21" s="11" t="s">
        <v>64</v>
      </c>
      <c r="AB21" s="11"/>
      <c r="AC21" s="11"/>
      <c r="AD21" s="11"/>
      <c r="AE21" s="11"/>
      <c r="AF21" s="11"/>
      <c r="AG21" s="11"/>
      <c r="AH21" s="11" t="s">
        <v>44</v>
      </c>
      <c r="AI21" s="11"/>
    </row>
    <row r="22" spans="1:35" ht="58" x14ac:dyDescent="0.35">
      <c r="A22" s="10">
        <v>3</v>
      </c>
      <c r="B22" s="24" t="s">
        <v>86</v>
      </c>
      <c r="C22" s="11">
        <v>80</v>
      </c>
      <c r="D22" s="11" t="s">
        <v>87</v>
      </c>
      <c r="E22" s="11">
        <v>28444702</v>
      </c>
      <c r="F22" s="11" t="s">
        <v>88</v>
      </c>
      <c r="G22" s="18" t="s">
        <v>89</v>
      </c>
      <c r="H22" s="13" t="s">
        <v>90</v>
      </c>
      <c r="I22" s="14" t="b">
        <v>1</v>
      </c>
      <c r="J22" s="15">
        <v>45824</v>
      </c>
      <c r="K22" s="14" t="b">
        <v>1</v>
      </c>
      <c r="L22" s="15">
        <v>45832</v>
      </c>
      <c r="M22" s="14" t="b">
        <v>0</v>
      </c>
      <c r="N22" s="15"/>
      <c r="O22" s="14" t="b">
        <v>0</v>
      </c>
      <c r="P22" s="15"/>
      <c r="Q22" s="14" t="b">
        <v>0</v>
      </c>
      <c r="R22" s="15"/>
      <c r="S22" s="11" t="str">
        <f t="shared" si="0"/>
        <v>En cours</v>
      </c>
      <c r="T22" s="16" t="s">
        <v>41</v>
      </c>
      <c r="U22" s="19" t="s">
        <v>91</v>
      </c>
      <c r="V22" s="16">
        <f t="shared" si="1"/>
        <v>1</v>
      </c>
      <c r="W22" s="16">
        <f t="shared" si="2"/>
        <v>1</v>
      </c>
      <c r="X22" s="16">
        <f t="shared" si="3"/>
        <v>0</v>
      </c>
      <c r="Y22" s="16">
        <f t="shared" si="4"/>
        <v>0</v>
      </c>
      <c r="Z22" s="16">
        <f t="shared" si="5"/>
        <v>0</v>
      </c>
      <c r="AA22" s="11" t="s">
        <v>51</v>
      </c>
      <c r="AB22" s="11"/>
      <c r="AC22" s="11"/>
      <c r="AD22" s="11"/>
      <c r="AE22" s="11"/>
      <c r="AF22" s="11"/>
      <c r="AG22" s="11"/>
      <c r="AH22" s="11" t="s">
        <v>44</v>
      </c>
      <c r="AI22" s="11"/>
    </row>
    <row r="23" spans="1:35" ht="72.5" x14ac:dyDescent="0.35">
      <c r="A23" s="10"/>
      <c r="B23" s="17" t="s">
        <v>92</v>
      </c>
      <c r="C23" s="11">
        <v>2300</v>
      </c>
      <c r="D23" s="11" t="s">
        <v>93</v>
      </c>
      <c r="E23" s="11">
        <v>99198468</v>
      </c>
      <c r="F23" s="11"/>
      <c r="G23" s="21" t="s">
        <v>94</v>
      </c>
      <c r="H23" s="13" t="s">
        <v>95</v>
      </c>
      <c r="I23" s="14" t="b">
        <v>1</v>
      </c>
      <c r="J23" s="15">
        <v>45824</v>
      </c>
      <c r="K23" s="14" t="b">
        <v>1</v>
      </c>
      <c r="L23" s="15">
        <v>45849</v>
      </c>
      <c r="M23" s="14" t="b">
        <v>0</v>
      </c>
      <c r="N23" s="15"/>
      <c r="O23" s="14" t="b">
        <v>0</v>
      </c>
      <c r="P23" s="15"/>
      <c r="Q23" s="14" t="b">
        <v>0</v>
      </c>
      <c r="R23" s="15"/>
      <c r="S23" s="11" t="str">
        <f t="shared" si="0"/>
        <v>En cours</v>
      </c>
      <c r="T23" s="16" t="s">
        <v>49</v>
      </c>
      <c r="U23" s="19" t="s">
        <v>96</v>
      </c>
      <c r="V23" s="16">
        <f t="shared" si="1"/>
        <v>1</v>
      </c>
      <c r="W23" s="16">
        <f t="shared" si="2"/>
        <v>1</v>
      </c>
      <c r="X23" s="16">
        <f t="shared" si="3"/>
        <v>0</v>
      </c>
      <c r="Y23" s="16">
        <f t="shared" si="4"/>
        <v>0</v>
      </c>
      <c r="Z23" s="16">
        <f t="shared" si="5"/>
        <v>0</v>
      </c>
      <c r="AA23" s="11" t="s">
        <v>51</v>
      </c>
      <c r="AB23" s="11"/>
      <c r="AC23" s="11"/>
      <c r="AD23" s="11"/>
      <c r="AE23" s="11"/>
      <c r="AF23" s="11"/>
      <c r="AG23" s="11"/>
      <c r="AH23" s="11" t="s">
        <v>44</v>
      </c>
      <c r="AI23" s="11"/>
    </row>
    <row r="24" spans="1:35" ht="29" x14ac:dyDescent="0.35">
      <c r="A24" s="10"/>
      <c r="B24" s="17" t="s">
        <v>97</v>
      </c>
      <c r="C24" s="11"/>
      <c r="D24" s="11" t="s">
        <v>98</v>
      </c>
      <c r="E24" s="11">
        <v>99642492</v>
      </c>
      <c r="F24" s="11"/>
      <c r="G24" s="21" t="s">
        <v>99</v>
      </c>
      <c r="H24" s="25"/>
      <c r="I24" s="14" t="b">
        <v>1</v>
      </c>
      <c r="J24" s="15">
        <v>45825</v>
      </c>
      <c r="K24" s="14" t="b">
        <v>1</v>
      </c>
      <c r="L24" s="15">
        <v>45849</v>
      </c>
      <c r="M24" s="14" t="b">
        <v>0</v>
      </c>
      <c r="N24" s="15"/>
      <c r="O24" s="14" t="b">
        <v>0</v>
      </c>
      <c r="P24" s="15"/>
      <c r="Q24" s="14" t="b">
        <v>0</v>
      </c>
      <c r="R24" s="15"/>
      <c r="S24" s="11" t="str">
        <f t="shared" si="0"/>
        <v>En cours</v>
      </c>
      <c r="T24" s="16" t="s">
        <v>49</v>
      </c>
      <c r="U24" s="19" t="s">
        <v>100</v>
      </c>
      <c r="V24" s="16">
        <f t="shared" si="1"/>
        <v>1</v>
      </c>
      <c r="W24" s="16">
        <f t="shared" si="2"/>
        <v>1</v>
      </c>
      <c r="X24" s="16">
        <f t="shared" si="3"/>
        <v>0</v>
      </c>
      <c r="Y24" s="16">
        <f t="shared" si="4"/>
        <v>0</v>
      </c>
      <c r="Z24" s="16">
        <f t="shared" si="5"/>
        <v>0</v>
      </c>
      <c r="AA24" s="11" t="s">
        <v>51</v>
      </c>
      <c r="AB24" s="11">
        <v>320</v>
      </c>
      <c r="AC24" s="11"/>
      <c r="AD24" s="11" t="s">
        <v>101</v>
      </c>
      <c r="AE24" s="11">
        <v>7.4999999999999997E-3</v>
      </c>
      <c r="AF24" s="11" t="s">
        <v>102</v>
      </c>
      <c r="AG24" s="11" t="s">
        <v>103</v>
      </c>
      <c r="AH24" s="11" t="s">
        <v>44</v>
      </c>
      <c r="AI24" s="11"/>
    </row>
    <row r="25" spans="1:35" ht="14.5" customHeight="1" x14ac:dyDescent="0.4">
      <c r="A25" s="10"/>
      <c r="B25" s="26" t="s">
        <v>104</v>
      </c>
      <c r="C25" s="11" t="s">
        <v>105</v>
      </c>
      <c r="D25" s="11" t="s">
        <v>106</v>
      </c>
      <c r="E25" s="11" t="s">
        <v>107</v>
      </c>
      <c r="F25" s="11"/>
      <c r="G25" s="11" t="s">
        <v>108</v>
      </c>
      <c r="H25" s="13"/>
      <c r="I25" s="14" t="b">
        <v>1</v>
      </c>
      <c r="J25" s="15">
        <v>45866</v>
      </c>
      <c r="K25" s="14" t="b">
        <v>1</v>
      </c>
      <c r="L25" s="15">
        <v>45866</v>
      </c>
      <c r="M25" s="14" t="b">
        <v>0</v>
      </c>
      <c r="N25" s="15"/>
      <c r="O25" s="14" t="b">
        <v>0</v>
      </c>
      <c r="P25" s="15"/>
      <c r="Q25" s="14" t="b">
        <v>0</v>
      </c>
      <c r="R25" s="15"/>
      <c r="S25" s="11" t="str">
        <f t="shared" si="0"/>
        <v>En cours</v>
      </c>
      <c r="T25" s="16"/>
      <c r="U25" s="19" t="s">
        <v>109</v>
      </c>
      <c r="V25" s="16">
        <f t="shared" si="1"/>
        <v>1</v>
      </c>
      <c r="W25" s="16">
        <f t="shared" si="2"/>
        <v>1</v>
      </c>
      <c r="X25" s="16">
        <f t="shared" si="3"/>
        <v>0</v>
      </c>
      <c r="Y25" s="16">
        <f t="shared" si="4"/>
        <v>0</v>
      </c>
      <c r="Z25" s="16">
        <f t="shared" si="5"/>
        <v>0</v>
      </c>
      <c r="AA25" s="11" t="s">
        <v>64</v>
      </c>
      <c r="AB25" s="11">
        <v>1400</v>
      </c>
      <c r="AC25" s="11" t="s">
        <v>110</v>
      </c>
      <c r="AD25" s="11" t="s">
        <v>111</v>
      </c>
      <c r="AE25" s="11">
        <v>7.4999999999999997E-3</v>
      </c>
      <c r="AF25" s="11">
        <v>0.01</v>
      </c>
      <c r="AG25" s="11" t="s">
        <v>112</v>
      </c>
      <c r="AH25" s="11" t="s">
        <v>59</v>
      </c>
      <c r="AI25" s="11" t="s">
        <v>113</v>
      </c>
    </row>
    <row r="26" spans="1:35" x14ac:dyDescent="0.35">
      <c r="A26" s="10">
        <v>33</v>
      </c>
      <c r="B26" s="24" t="s">
        <v>114</v>
      </c>
      <c r="C26" s="11">
        <v>6500</v>
      </c>
      <c r="D26" s="11" t="s">
        <v>115</v>
      </c>
      <c r="E26" s="11">
        <v>28502179</v>
      </c>
      <c r="F26" s="11" t="s">
        <v>67</v>
      </c>
      <c r="G26" s="11" t="s">
        <v>116</v>
      </c>
      <c r="H26" s="13" t="s">
        <v>40</v>
      </c>
      <c r="I26" s="14" t="b">
        <v>1</v>
      </c>
      <c r="J26" s="15">
        <v>45820</v>
      </c>
      <c r="K26" s="14" t="b">
        <v>0</v>
      </c>
      <c r="L26" s="15"/>
      <c r="M26" s="14" t="b">
        <v>0</v>
      </c>
      <c r="N26" s="15"/>
      <c r="O26" s="14" t="b">
        <v>0</v>
      </c>
      <c r="P26" s="15"/>
      <c r="Q26" s="14" t="b">
        <v>0</v>
      </c>
      <c r="R26" s="15"/>
      <c r="S26" s="11" t="str">
        <f t="shared" si="0"/>
        <v>En cours</v>
      </c>
      <c r="T26" s="16" t="s">
        <v>49</v>
      </c>
      <c r="U26" s="27" t="s">
        <v>117</v>
      </c>
      <c r="V26" s="16">
        <f t="shared" si="1"/>
        <v>1</v>
      </c>
      <c r="W26" s="16">
        <f t="shared" si="2"/>
        <v>0</v>
      </c>
      <c r="X26" s="16">
        <f t="shared" si="3"/>
        <v>0</v>
      </c>
      <c r="Y26" s="16">
        <f t="shared" si="4"/>
        <v>0</v>
      </c>
      <c r="Z26" s="16">
        <f t="shared" si="5"/>
        <v>0</v>
      </c>
      <c r="AA26" s="11" t="s">
        <v>64</v>
      </c>
      <c r="AB26" s="11"/>
      <c r="AC26" s="11"/>
      <c r="AD26" s="11" t="s">
        <v>111</v>
      </c>
      <c r="AE26" s="11">
        <v>7.4999999999999997E-3</v>
      </c>
      <c r="AF26" s="11" t="s">
        <v>118</v>
      </c>
      <c r="AG26" s="11" t="s">
        <v>119</v>
      </c>
      <c r="AH26" s="11" t="s">
        <v>59</v>
      </c>
      <c r="AI26" s="11" t="s">
        <v>120</v>
      </c>
    </row>
    <row r="27" spans="1:35" x14ac:dyDescent="0.35">
      <c r="A27" s="10"/>
      <c r="B27" s="17" t="s">
        <v>121</v>
      </c>
      <c r="C27" s="11"/>
      <c r="D27" s="11" t="s">
        <v>122</v>
      </c>
      <c r="E27" s="11">
        <v>58575021</v>
      </c>
      <c r="F27" s="11"/>
      <c r="G27" s="18" t="s">
        <v>123</v>
      </c>
      <c r="H27" s="13" t="s">
        <v>56</v>
      </c>
      <c r="I27" s="14" t="b">
        <v>1</v>
      </c>
      <c r="J27" s="15">
        <v>45820</v>
      </c>
      <c r="K27" s="14" t="b">
        <v>0</v>
      </c>
      <c r="L27" s="15"/>
      <c r="M27" s="14" t="b">
        <v>0</v>
      </c>
      <c r="N27" s="15"/>
      <c r="O27" s="14" t="b">
        <v>0</v>
      </c>
      <c r="P27" s="15"/>
      <c r="Q27" s="14" t="b">
        <v>0</v>
      </c>
      <c r="R27" s="15"/>
      <c r="S27" s="11" t="str">
        <f t="shared" si="0"/>
        <v>En cours</v>
      </c>
      <c r="T27" s="16" t="s">
        <v>49</v>
      </c>
      <c r="U27" s="16" t="s">
        <v>124</v>
      </c>
      <c r="V27" s="16">
        <f t="shared" si="1"/>
        <v>1</v>
      </c>
      <c r="W27" s="16">
        <f t="shared" si="2"/>
        <v>0</v>
      </c>
      <c r="X27" s="16">
        <f t="shared" si="3"/>
        <v>0</v>
      </c>
      <c r="Y27" s="16">
        <f t="shared" si="4"/>
        <v>0</v>
      </c>
      <c r="Z27" s="16">
        <f t="shared" si="5"/>
        <v>0</v>
      </c>
      <c r="AA27" s="11" t="s">
        <v>51</v>
      </c>
      <c r="AB27" s="11"/>
      <c r="AC27" s="11"/>
      <c r="AD27" s="11"/>
      <c r="AE27" s="11"/>
      <c r="AF27" s="11"/>
      <c r="AG27" s="11"/>
      <c r="AH27" s="11" t="s">
        <v>59</v>
      </c>
      <c r="AI27" s="11"/>
    </row>
    <row r="28" spans="1:35" x14ac:dyDescent="0.35">
      <c r="A28" s="10">
        <v>27</v>
      </c>
      <c r="B28" s="11" t="s">
        <v>125</v>
      </c>
      <c r="C28" s="11">
        <v>2000</v>
      </c>
      <c r="D28" s="11" t="s">
        <v>126</v>
      </c>
      <c r="E28" s="11">
        <v>22712088</v>
      </c>
      <c r="F28" s="11" t="s">
        <v>127</v>
      </c>
      <c r="G28" s="11"/>
      <c r="H28" s="13" t="s">
        <v>95</v>
      </c>
      <c r="I28" s="14" t="b">
        <v>1</v>
      </c>
      <c r="J28" s="15">
        <v>45824</v>
      </c>
      <c r="K28" s="14" t="b">
        <v>0</v>
      </c>
      <c r="L28" s="15"/>
      <c r="M28" s="14" t="b">
        <v>0</v>
      </c>
      <c r="N28" s="15"/>
      <c r="O28" s="14" t="b">
        <v>0</v>
      </c>
      <c r="P28" s="15"/>
      <c r="Q28" s="14" t="b">
        <v>0</v>
      </c>
      <c r="R28" s="15"/>
      <c r="S28" s="11" t="str">
        <f t="shared" si="0"/>
        <v>En cours</v>
      </c>
      <c r="T28" s="16" t="s">
        <v>41</v>
      </c>
      <c r="U28" s="16" t="s">
        <v>128</v>
      </c>
      <c r="V28" s="16">
        <f t="shared" si="1"/>
        <v>1</v>
      </c>
      <c r="W28" s="16">
        <f t="shared" si="2"/>
        <v>0</v>
      </c>
      <c r="X28" s="16">
        <f t="shared" si="3"/>
        <v>0</v>
      </c>
      <c r="Y28" s="16">
        <f t="shared" si="4"/>
        <v>0</v>
      </c>
      <c r="Z28" s="16">
        <f t="shared" si="5"/>
        <v>0</v>
      </c>
      <c r="AA28" s="24" t="s">
        <v>51</v>
      </c>
      <c r="AB28" s="24">
        <v>60</v>
      </c>
      <c r="AC28" s="24">
        <v>600</v>
      </c>
      <c r="AD28" s="24" t="s">
        <v>129</v>
      </c>
      <c r="AE28" s="24">
        <v>7.4999999999999997E-3</v>
      </c>
      <c r="AF28" s="24" t="s">
        <v>130</v>
      </c>
      <c r="AG28" s="24"/>
      <c r="AH28" s="24" t="s">
        <v>52</v>
      </c>
      <c r="AI28" s="24"/>
    </row>
    <row r="29" spans="1:35" ht="14.5" customHeight="1" x14ac:dyDescent="0.35">
      <c r="A29" s="10">
        <v>28</v>
      </c>
      <c r="B29" s="24" t="s">
        <v>131</v>
      </c>
      <c r="C29" s="11">
        <v>1500</v>
      </c>
      <c r="D29" s="11" t="s">
        <v>132</v>
      </c>
      <c r="E29" s="11">
        <v>58437680</v>
      </c>
      <c r="F29" s="11" t="s">
        <v>133</v>
      </c>
      <c r="G29" s="11"/>
      <c r="H29" s="13" t="s">
        <v>95</v>
      </c>
      <c r="I29" s="14" t="b">
        <v>1</v>
      </c>
      <c r="J29" s="15">
        <v>45824</v>
      </c>
      <c r="K29" s="14" t="b">
        <v>1</v>
      </c>
      <c r="L29" s="15">
        <v>45936</v>
      </c>
      <c r="M29" s="14" t="b">
        <v>0</v>
      </c>
      <c r="N29" s="15"/>
      <c r="O29" s="14" t="b">
        <v>0</v>
      </c>
      <c r="P29" s="15"/>
      <c r="Q29" s="14" t="b">
        <v>0</v>
      </c>
      <c r="R29" s="15"/>
      <c r="S29" s="11" t="str">
        <f t="shared" si="0"/>
        <v>En cours</v>
      </c>
      <c r="T29" s="16" t="s">
        <v>41</v>
      </c>
      <c r="U29" s="19" t="s">
        <v>134</v>
      </c>
      <c r="V29" s="16">
        <f t="shared" si="1"/>
        <v>1</v>
      </c>
      <c r="W29" s="16">
        <f t="shared" si="2"/>
        <v>1</v>
      </c>
      <c r="X29" s="16">
        <f t="shared" si="3"/>
        <v>0</v>
      </c>
      <c r="Y29" s="16">
        <f t="shared" si="4"/>
        <v>0</v>
      </c>
      <c r="Z29" s="16">
        <f t="shared" si="5"/>
        <v>0</v>
      </c>
      <c r="AA29" s="24" t="s">
        <v>64</v>
      </c>
      <c r="AB29" s="24">
        <v>750</v>
      </c>
      <c r="AC29" s="24" t="s">
        <v>135</v>
      </c>
      <c r="AD29" s="24" t="s">
        <v>136</v>
      </c>
      <c r="AE29" s="24">
        <v>7.4999999999999997E-3</v>
      </c>
      <c r="AF29" s="24" t="s">
        <v>130</v>
      </c>
      <c r="AG29" s="24" t="s">
        <v>112</v>
      </c>
      <c r="AH29" s="24" t="s">
        <v>52</v>
      </c>
      <c r="AI29" s="24" t="s">
        <v>137</v>
      </c>
    </row>
    <row r="30" spans="1:35" ht="14.5" customHeight="1" x14ac:dyDescent="0.35">
      <c r="A30" s="10">
        <v>35</v>
      </c>
      <c r="B30" s="28" t="s">
        <v>138</v>
      </c>
      <c r="C30" s="11">
        <v>900</v>
      </c>
      <c r="D30" s="11" t="s">
        <v>139</v>
      </c>
      <c r="E30" s="11" t="s">
        <v>140</v>
      </c>
      <c r="F30" s="11" t="s">
        <v>141</v>
      </c>
      <c r="G30" s="11" t="s">
        <v>142</v>
      </c>
      <c r="H30" s="13" t="s">
        <v>95</v>
      </c>
      <c r="I30" s="14" t="b">
        <v>1</v>
      </c>
      <c r="J30" s="15">
        <v>45824</v>
      </c>
      <c r="K30" s="14" t="b">
        <v>0</v>
      </c>
      <c r="L30" s="15"/>
      <c r="M30" s="14" t="b">
        <v>0</v>
      </c>
      <c r="N30" s="15"/>
      <c r="O30" s="14" t="b">
        <v>0</v>
      </c>
      <c r="P30" s="15"/>
      <c r="Q30" s="14" t="b">
        <v>0</v>
      </c>
      <c r="R30" s="15"/>
      <c r="S30" s="11" t="str">
        <f t="shared" si="0"/>
        <v>En cours</v>
      </c>
      <c r="T30" s="16" t="s">
        <v>41</v>
      </c>
      <c r="U30" s="27" t="s">
        <v>143</v>
      </c>
      <c r="V30" s="16">
        <f t="shared" si="1"/>
        <v>1</v>
      </c>
      <c r="W30" s="16">
        <f t="shared" si="2"/>
        <v>0</v>
      </c>
      <c r="X30" s="16">
        <f t="shared" si="3"/>
        <v>0</v>
      </c>
      <c r="Y30" s="16">
        <f t="shared" si="4"/>
        <v>0</v>
      </c>
      <c r="Z30" s="16">
        <f t="shared" si="5"/>
        <v>0</v>
      </c>
      <c r="AA30" s="24" t="s">
        <v>64</v>
      </c>
      <c r="AB30" s="24">
        <v>3000</v>
      </c>
      <c r="AC30" s="24"/>
      <c r="AD30" s="24" t="s">
        <v>144</v>
      </c>
      <c r="AE30" s="24">
        <v>7.4999999999999997E-3</v>
      </c>
      <c r="AF30" s="24" t="s">
        <v>130</v>
      </c>
      <c r="AG30" s="24"/>
      <c r="AH30" s="24" t="s">
        <v>44</v>
      </c>
      <c r="AI30" s="24"/>
    </row>
    <row r="31" spans="1:35" ht="43.5" customHeight="1" x14ac:dyDescent="0.35">
      <c r="A31" s="10">
        <v>32</v>
      </c>
      <c r="B31" s="11" t="s">
        <v>145</v>
      </c>
      <c r="C31" s="11">
        <v>22000</v>
      </c>
      <c r="D31" s="24" t="s">
        <v>146</v>
      </c>
      <c r="E31" s="24">
        <v>50531280</v>
      </c>
      <c r="F31" s="24" t="s">
        <v>147</v>
      </c>
      <c r="G31" s="21" t="s">
        <v>148</v>
      </c>
      <c r="H31" s="13"/>
      <c r="I31" s="14" t="b">
        <v>1</v>
      </c>
      <c r="J31" s="15">
        <v>45824</v>
      </c>
      <c r="K31" s="14" t="b">
        <v>0</v>
      </c>
      <c r="L31" s="15"/>
      <c r="M31" s="14" t="b">
        <v>0</v>
      </c>
      <c r="N31" s="15"/>
      <c r="O31" s="14" t="b">
        <v>0</v>
      </c>
      <c r="P31" s="15"/>
      <c r="Q31" s="14" t="b">
        <v>0</v>
      </c>
      <c r="R31" s="15"/>
      <c r="S31" s="11" t="str">
        <f t="shared" si="0"/>
        <v>En cours</v>
      </c>
      <c r="T31" s="16" t="s">
        <v>41</v>
      </c>
      <c r="U31" s="16" t="s">
        <v>149</v>
      </c>
      <c r="V31" s="16">
        <f t="shared" si="1"/>
        <v>1</v>
      </c>
      <c r="W31" s="16">
        <f t="shared" si="2"/>
        <v>0</v>
      </c>
      <c r="X31" s="16">
        <f t="shared" si="3"/>
        <v>0</v>
      </c>
      <c r="Y31" s="16">
        <f t="shared" si="4"/>
        <v>0</v>
      </c>
      <c r="Z31" s="16">
        <f t="shared" si="5"/>
        <v>0</v>
      </c>
      <c r="AA31" s="24" t="s">
        <v>51</v>
      </c>
      <c r="AB31" s="24">
        <v>150</v>
      </c>
      <c r="AC31" s="24">
        <v>800</v>
      </c>
      <c r="AD31" s="24" t="s">
        <v>129</v>
      </c>
      <c r="AE31" s="24">
        <v>7.4999999999999997E-3</v>
      </c>
      <c r="AF31" s="24" t="s">
        <v>130</v>
      </c>
      <c r="AG31" s="24"/>
      <c r="AH31" s="24" t="s">
        <v>44</v>
      </c>
      <c r="AI31" s="24"/>
    </row>
    <row r="32" spans="1:35" ht="29" customHeight="1" x14ac:dyDescent="0.4">
      <c r="A32" s="10"/>
      <c r="B32" s="29" t="s">
        <v>150</v>
      </c>
      <c r="C32" s="11"/>
      <c r="D32" s="11"/>
      <c r="E32" s="11" t="s">
        <v>151</v>
      </c>
      <c r="F32" s="11"/>
      <c r="G32" s="11"/>
      <c r="H32" s="25"/>
      <c r="I32" s="14" t="b">
        <v>1</v>
      </c>
      <c r="J32" s="15">
        <v>45825</v>
      </c>
      <c r="K32" s="14" t="b">
        <v>0</v>
      </c>
      <c r="L32" s="15"/>
      <c r="M32" s="14" t="b">
        <v>0</v>
      </c>
      <c r="N32" s="15"/>
      <c r="O32" s="14" t="b">
        <v>0</v>
      </c>
      <c r="P32" s="15"/>
      <c r="Q32" s="14" t="b">
        <v>0</v>
      </c>
      <c r="R32" s="15"/>
      <c r="S32" s="11" t="str">
        <f t="shared" si="0"/>
        <v>En cours</v>
      </c>
      <c r="T32" s="16" t="s">
        <v>49</v>
      </c>
      <c r="U32" s="19" t="s">
        <v>152</v>
      </c>
      <c r="V32" s="16">
        <f t="shared" si="1"/>
        <v>1</v>
      </c>
      <c r="W32" s="16">
        <f t="shared" si="2"/>
        <v>0</v>
      </c>
      <c r="X32" s="16">
        <f t="shared" si="3"/>
        <v>0</v>
      </c>
      <c r="Y32" s="16">
        <f t="shared" si="4"/>
        <v>0</v>
      </c>
      <c r="Z32" s="16">
        <f t="shared" si="5"/>
        <v>0</v>
      </c>
      <c r="AA32" s="11"/>
      <c r="AB32" s="11"/>
      <c r="AC32" s="11"/>
      <c r="AD32" s="11"/>
      <c r="AE32" s="11">
        <v>7.4999999999999997E-3</v>
      </c>
      <c r="AF32" s="11"/>
      <c r="AG32" s="11"/>
      <c r="AH32" s="11" t="s">
        <v>44</v>
      </c>
      <c r="AI32" s="11"/>
    </row>
    <row r="33" spans="1:35" ht="29" x14ac:dyDescent="0.35">
      <c r="A33" s="10"/>
      <c r="B33" s="23" t="s">
        <v>153</v>
      </c>
      <c r="C33" s="11">
        <v>1540</v>
      </c>
      <c r="D33" s="11" t="s">
        <v>154</v>
      </c>
      <c r="E33" s="11" t="s">
        <v>155</v>
      </c>
      <c r="F33" s="11"/>
      <c r="G33" s="18" t="s">
        <v>156</v>
      </c>
      <c r="H33" s="25"/>
      <c r="I33" s="14" t="b">
        <v>1</v>
      </c>
      <c r="J33" s="15">
        <v>45825</v>
      </c>
      <c r="K33" s="14" t="b">
        <v>0</v>
      </c>
      <c r="L33" s="15"/>
      <c r="M33" s="14" t="b">
        <v>0</v>
      </c>
      <c r="N33" s="15"/>
      <c r="O33" s="14" t="b">
        <v>0</v>
      </c>
      <c r="P33" s="15"/>
      <c r="Q33" s="14" t="b">
        <v>0</v>
      </c>
      <c r="R33" s="15"/>
      <c r="S33" s="11" t="str">
        <f t="shared" si="0"/>
        <v>En cours</v>
      </c>
      <c r="T33" s="16" t="s">
        <v>49</v>
      </c>
      <c r="U33" s="30" t="s">
        <v>157</v>
      </c>
      <c r="V33" s="16">
        <f t="shared" si="1"/>
        <v>1</v>
      </c>
      <c r="W33" s="16">
        <f t="shared" si="2"/>
        <v>0</v>
      </c>
      <c r="X33" s="16">
        <f t="shared" si="3"/>
        <v>0</v>
      </c>
      <c r="Y33" s="16">
        <f t="shared" si="4"/>
        <v>0</v>
      </c>
      <c r="Z33" s="16">
        <f t="shared" si="5"/>
        <v>0</v>
      </c>
      <c r="AA33" s="11" t="s">
        <v>51</v>
      </c>
      <c r="AB33" s="11">
        <v>400</v>
      </c>
      <c r="AC33" s="11"/>
      <c r="AD33" s="11"/>
      <c r="AE33" s="11">
        <v>7.4999999999999997E-3</v>
      </c>
      <c r="AF33" s="11"/>
      <c r="AG33" s="11"/>
      <c r="AH33" s="11" t="s">
        <v>44</v>
      </c>
      <c r="AI33" s="11"/>
    </row>
    <row r="34" spans="1:35" ht="43.5" x14ac:dyDescent="0.35">
      <c r="A34" s="10"/>
      <c r="B34" s="17" t="s">
        <v>158</v>
      </c>
      <c r="C34" s="11">
        <v>700</v>
      </c>
      <c r="D34" s="11" t="s">
        <v>159</v>
      </c>
      <c r="E34" s="11" t="s">
        <v>160</v>
      </c>
      <c r="F34" s="11"/>
      <c r="G34" s="11"/>
      <c r="H34" s="13"/>
      <c r="I34" s="14" t="b">
        <v>1</v>
      </c>
      <c r="J34" s="15">
        <v>45827</v>
      </c>
      <c r="K34" s="14" t="b">
        <v>0</v>
      </c>
      <c r="L34" s="15"/>
      <c r="M34" s="14" t="b">
        <v>0</v>
      </c>
      <c r="N34" s="15"/>
      <c r="O34" s="14" t="b">
        <v>0</v>
      </c>
      <c r="P34" s="15"/>
      <c r="Q34" s="14" t="b">
        <v>0</v>
      </c>
      <c r="R34" s="15"/>
      <c r="S34" s="11" t="str">
        <f t="shared" si="0"/>
        <v>En cours</v>
      </c>
      <c r="T34" s="16" t="s">
        <v>49</v>
      </c>
      <c r="U34" s="30" t="s">
        <v>161</v>
      </c>
      <c r="V34" s="16">
        <f t="shared" si="1"/>
        <v>1</v>
      </c>
      <c r="W34" s="16">
        <f t="shared" si="2"/>
        <v>0</v>
      </c>
      <c r="X34" s="16">
        <f t="shared" si="3"/>
        <v>0</v>
      </c>
      <c r="Y34" s="16">
        <f t="shared" si="4"/>
        <v>0</v>
      </c>
      <c r="Z34" s="16">
        <f t="shared" si="5"/>
        <v>0</v>
      </c>
      <c r="AA34" s="11" t="s">
        <v>162</v>
      </c>
      <c r="AB34" s="11"/>
      <c r="AC34" s="11"/>
      <c r="AD34" s="11"/>
      <c r="AE34" s="11"/>
      <c r="AF34" s="11">
        <v>0</v>
      </c>
      <c r="AG34" s="11"/>
      <c r="AH34" s="11" t="s">
        <v>59</v>
      </c>
      <c r="AI34" s="11"/>
    </row>
    <row r="35" spans="1:35" ht="29" x14ac:dyDescent="0.35">
      <c r="A35" s="10">
        <v>6</v>
      </c>
      <c r="B35" s="17" t="s">
        <v>163</v>
      </c>
      <c r="C35">
        <v>4200</v>
      </c>
      <c r="D35" s="28" t="s">
        <v>0</v>
      </c>
      <c r="E35" s="24">
        <v>98217671</v>
      </c>
      <c r="F35" s="24" t="s">
        <v>164</v>
      </c>
      <c r="G35" s="31" t="s">
        <v>165</v>
      </c>
      <c r="H35" s="13"/>
      <c r="I35" s="14" t="b">
        <v>1</v>
      </c>
      <c r="J35" s="15">
        <v>45831</v>
      </c>
      <c r="K35" s="14" t="b">
        <v>0</v>
      </c>
      <c r="L35" s="15"/>
      <c r="M35" s="14" t="b">
        <v>0</v>
      </c>
      <c r="N35" s="15"/>
      <c r="O35" s="14" t="b">
        <v>0</v>
      </c>
      <c r="P35" s="15"/>
      <c r="Q35" s="14" t="b">
        <v>0</v>
      </c>
      <c r="R35" s="15"/>
      <c r="S35" s="11" t="str">
        <f t="shared" si="0"/>
        <v>En cours</v>
      </c>
      <c r="T35" s="16" t="s">
        <v>41</v>
      </c>
      <c r="U35" s="30" t="s">
        <v>166</v>
      </c>
      <c r="V35" s="16">
        <f t="shared" si="1"/>
        <v>1</v>
      </c>
      <c r="W35" s="16">
        <f t="shared" si="2"/>
        <v>0</v>
      </c>
      <c r="X35" s="16">
        <f t="shared" si="3"/>
        <v>0</v>
      </c>
      <c r="Y35" s="16">
        <f t="shared" si="4"/>
        <v>0</v>
      </c>
      <c r="Z35" s="16">
        <f t="shared" si="5"/>
        <v>0</v>
      </c>
      <c r="AA35" s="11" t="s">
        <v>162</v>
      </c>
      <c r="AB35" s="11"/>
      <c r="AC35" s="11"/>
      <c r="AD35" s="11"/>
      <c r="AE35" s="11"/>
      <c r="AF35" s="11">
        <v>0</v>
      </c>
      <c r="AG35" s="11"/>
      <c r="AH35" s="11" t="s">
        <v>59</v>
      </c>
      <c r="AI35" s="11"/>
    </row>
    <row r="36" spans="1:35" ht="58" x14ac:dyDescent="0.35">
      <c r="A36" s="10">
        <v>24</v>
      </c>
      <c r="B36" s="11" t="s">
        <v>167</v>
      </c>
      <c r="C36" s="11">
        <v>4000</v>
      </c>
      <c r="D36" s="32" t="s">
        <v>168</v>
      </c>
      <c r="E36" s="11">
        <v>21358684</v>
      </c>
      <c r="F36" s="11" t="s">
        <v>169</v>
      </c>
      <c r="H36" s="13"/>
      <c r="I36" s="14" t="b">
        <v>1</v>
      </c>
      <c r="J36" s="15">
        <v>45833</v>
      </c>
      <c r="K36" s="14" t="b">
        <v>0</v>
      </c>
      <c r="L36" s="15"/>
      <c r="M36" s="14" t="b">
        <v>0</v>
      </c>
      <c r="N36" s="15"/>
      <c r="O36" s="14" t="b">
        <v>0</v>
      </c>
      <c r="P36" s="15"/>
      <c r="Q36" s="14" t="b">
        <v>0</v>
      </c>
      <c r="R36" s="15"/>
      <c r="S36" s="11" t="str">
        <f t="shared" si="0"/>
        <v>En cours</v>
      </c>
      <c r="T36" s="16" t="s">
        <v>41</v>
      </c>
      <c r="U36" s="30" t="s">
        <v>170</v>
      </c>
      <c r="V36" s="16">
        <f t="shared" si="1"/>
        <v>1</v>
      </c>
      <c r="W36" s="16">
        <f t="shared" si="2"/>
        <v>0</v>
      </c>
      <c r="X36" s="16">
        <f t="shared" si="3"/>
        <v>0</v>
      </c>
      <c r="Y36" s="16">
        <f t="shared" si="4"/>
        <v>0</v>
      </c>
      <c r="Z36" s="16">
        <f t="shared" si="5"/>
        <v>0</v>
      </c>
      <c r="AA36" s="11" t="s">
        <v>64</v>
      </c>
      <c r="AB36" s="11"/>
      <c r="AC36" s="11"/>
      <c r="AD36" s="11"/>
      <c r="AE36" s="11"/>
      <c r="AF36" s="11"/>
      <c r="AG36" s="11"/>
      <c r="AH36" s="11" t="s">
        <v>59</v>
      </c>
      <c r="AI36" s="11" t="s">
        <v>171</v>
      </c>
    </row>
    <row r="37" spans="1:35" ht="43.5" x14ac:dyDescent="0.35">
      <c r="A37" s="10">
        <v>25</v>
      </c>
      <c r="B37" s="33" t="s">
        <v>172</v>
      </c>
      <c r="C37" s="11" t="s">
        <v>0</v>
      </c>
      <c r="D37" s="11" t="s">
        <v>173</v>
      </c>
      <c r="E37" s="11">
        <v>26988070</v>
      </c>
      <c r="F37" s="11" t="s">
        <v>169</v>
      </c>
      <c r="G37" s="21" t="s">
        <v>174</v>
      </c>
      <c r="H37" s="13"/>
      <c r="I37" s="14" t="b">
        <v>1</v>
      </c>
      <c r="J37" s="15">
        <v>45833</v>
      </c>
      <c r="K37" s="14" t="b">
        <v>0</v>
      </c>
      <c r="L37" s="15"/>
      <c r="M37" s="14" t="b">
        <v>0</v>
      </c>
      <c r="N37" s="15"/>
      <c r="O37" s="14" t="b">
        <v>0</v>
      </c>
      <c r="P37" s="15"/>
      <c r="Q37" s="14" t="b">
        <v>0</v>
      </c>
      <c r="R37" s="15"/>
      <c r="S37" s="11" t="str">
        <f t="shared" si="0"/>
        <v>En cours</v>
      </c>
      <c r="T37" s="16" t="s">
        <v>41</v>
      </c>
      <c r="U37" s="30" t="s">
        <v>175</v>
      </c>
      <c r="V37" s="16">
        <f t="shared" si="1"/>
        <v>1</v>
      </c>
      <c r="W37" s="16">
        <f t="shared" si="2"/>
        <v>0</v>
      </c>
      <c r="X37" s="16">
        <f t="shared" si="3"/>
        <v>0</v>
      </c>
      <c r="Y37" s="16">
        <f t="shared" si="4"/>
        <v>0</v>
      </c>
      <c r="Z37" s="16">
        <f t="shared" si="5"/>
        <v>0</v>
      </c>
      <c r="AA37" s="11" t="s">
        <v>51</v>
      </c>
      <c r="AB37" s="11">
        <v>1527</v>
      </c>
      <c r="AC37" s="11" t="s">
        <v>176</v>
      </c>
      <c r="AD37" s="11" t="s">
        <v>177</v>
      </c>
      <c r="AE37" s="11">
        <v>7.4999999999999997E-3</v>
      </c>
      <c r="AF37" s="11">
        <v>0.01</v>
      </c>
      <c r="AG37" s="11" t="s">
        <v>112</v>
      </c>
      <c r="AH37" s="11" t="s">
        <v>59</v>
      </c>
      <c r="AI37" s="11" t="s">
        <v>178</v>
      </c>
    </row>
    <row r="38" spans="1:35" ht="29" x14ac:dyDescent="0.35">
      <c r="A38" s="10"/>
      <c r="B38" s="11" t="s">
        <v>179</v>
      </c>
      <c r="C38" s="11"/>
      <c r="D38" s="24" t="s">
        <v>180</v>
      </c>
      <c r="E38" s="24">
        <v>27245716</v>
      </c>
      <c r="F38" s="24"/>
      <c r="G38" s="24" t="s">
        <v>181</v>
      </c>
      <c r="H38" s="13"/>
      <c r="I38" s="14" t="b">
        <v>1</v>
      </c>
      <c r="J38" s="15">
        <v>45853</v>
      </c>
      <c r="K38" s="14" t="b">
        <v>0</v>
      </c>
      <c r="L38" s="15"/>
      <c r="M38" s="14" t="b">
        <v>0</v>
      </c>
      <c r="N38" s="15"/>
      <c r="O38" s="14" t="b">
        <v>0</v>
      </c>
      <c r="P38" s="15"/>
      <c r="Q38" s="14" t="b">
        <v>0</v>
      </c>
      <c r="R38" s="15"/>
      <c r="S38" s="11" t="str">
        <f t="shared" si="0"/>
        <v>En cours</v>
      </c>
      <c r="T38" s="16" t="s">
        <v>49</v>
      </c>
      <c r="U38" s="30" t="s">
        <v>182</v>
      </c>
      <c r="V38" s="16">
        <f t="shared" si="1"/>
        <v>1</v>
      </c>
      <c r="W38" s="16">
        <f t="shared" si="2"/>
        <v>0</v>
      </c>
      <c r="X38" s="16">
        <f t="shared" si="3"/>
        <v>0</v>
      </c>
      <c r="Y38" s="16">
        <f t="shared" si="4"/>
        <v>0</v>
      </c>
      <c r="Z38" s="16">
        <f t="shared" si="5"/>
        <v>0</v>
      </c>
      <c r="AA38" s="11" t="s">
        <v>64</v>
      </c>
      <c r="AB38" s="11">
        <v>50</v>
      </c>
      <c r="AC38" s="11">
        <v>900</v>
      </c>
      <c r="AD38" s="11" t="s">
        <v>183</v>
      </c>
      <c r="AE38" s="11">
        <v>7.4999999999999997E-3</v>
      </c>
      <c r="AF38" s="11">
        <v>0</v>
      </c>
      <c r="AG38" s="11" t="s">
        <v>112</v>
      </c>
      <c r="AH38" s="11" t="s">
        <v>52</v>
      </c>
      <c r="AI38" s="11"/>
    </row>
    <row r="39" spans="1:35" x14ac:dyDescent="0.35">
      <c r="A39" s="10">
        <v>17</v>
      </c>
      <c r="B39" s="33" t="s">
        <v>184</v>
      </c>
      <c r="C39" s="11">
        <v>2600</v>
      </c>
      <c r="D39" s="11" t="s">
        <v>185</v>
      </c>
      <c r="E39" s="11">
        <v>58561070</v>
      </c>
      <c r="F39" s="11" t="s">
        <v>186</v>
      </c>
      <c r="G39" s="11"/>
      <c r="H39" s="13"/>
      <c r="I39" s="14" t="b">
        <v>1</v>
      </c>
      <c r="J39" s="15">
        <v>45860</v>
      </c>
      <c r="K39" s="14" t="b">
        <v>0</v>
      </c>
      <c r="L39" s="15"/>
      <c r="M39" s="14" t="b">
        <v>0</v>
      </c>
      <c r="N39" s="15"/>
      <c r="O39" s="14" t="b">
        <v>0</v>
      </c>
      <c r="P39" s="15"/>
      <c r="Q39" s="14" t="b">
        <v>0</v>
      </c>
      <c r="R39" s="15"/>
      <c r="S39" s="11" t="str">
        <f t="shared" si="0"/>
        <v>En cours</v>
      </c>
      <c r="T39" s="16" t="s">
        <v>41</v>
      </c>
      <c r="U39" s="11"/>
      <c r="V39" s="16">
        <f t="shared" si="1"/>
        <v>1</v>
      </c>
      <c r="W39" s="16">
        <f t="shared" si="2"/>
        <v>0</v>
      </c>
      <c r="X39" s="16">
        <f t="shared" si="3"/>
        <v>0</v>
      </c>
      <c r="Y39" s="16">
        <f t="shared" si="4"/>
        <v>0</v>
      </c>
      <c r="Z39" s="16">
        <f t="shared" si="5"/>
        <v>0</v>
      </c>
      <c r="AA39" s="11" t="s">
        <v>51</v>
      </c>
      <c r="AB39" s="11"/>
      <c r="AC39" s="11"/>
      <c r="AD39" s="11" t="s">
        <v>187</v>
      </c>
      <c r="AE39" s="11">
        <v>7.4999999999999997E-3</v>
      </c>
      <c r="AF39" s="11">
        <v>0</v>
      </c>
      <c r="AG39" s="11" t="s">
        <v>112</v>
      </c>
      <c r="AH39" s="11" t="s">
        <v>188</v>
      </c>
      <c r="AI39" s="11" t="s">
        <v>189</v>
      </c>
    </row>
    <row r="40" spans="1:35" ht="29" x14ac:dyDescent="0.35">
      <c r="A40" s="10"/>
      <c r="B40" s="11" t="s">
        <v>190</v>
      </c>
      <c r="C40" s="11"/>
      <c r="D40" s="11" t="s">
        <v>191</v>
      </c>
      <c r="E40" s="11">
        <v>29613142</v>
      </c>
      <c r="F40" s="24"/>
      <c r="G40" s="34" t="s">
        <v>192</v>
      </c>
      <c r="H40" s="13"/>
      <c r="I40" s="14" t="b">
        <v>1</v>
      </c>
      <c r="J40" s="15">
        <v>45860</v>
      </c>
      <c r="K40" s="14" t="b">
        <v>0</v>
      </c>
      <c r="L40" s="15"/>
      <c r="M40" s="14" t="b">
        <v>0</v>
      </c>
      <c r="N40" s="15"/>
      <c r="O40" s="14" t="b">
        <v>0</v>
      </c>
      <c r="P40" s="15"/>
      <c r="Q40" s="14" t="b">
        <v>0</v>
      </c>
      <c r="R40" s="15"/>
      <c r="S40" s="11" t="str">
        <f t="shared" si="0"/>
        <v>En cours</v>
      </c>
      <c r="T40" s="16"/>
      <c r="U40" s="35" t="s">
        <v>193</v>
      </c>
      <c r="V40" s="16">
        <f t="shared" si="1"/>
        <v>1</v>
      </c>
      <c r="W40" s="16">
        <f t="shared" si="2"/>
        <v>0</v>
      </c>
      <c r="X40" s="16">
        <f t="shared" si="3"/>
        <v>0</v>
      </c>
      <c r="Y40" s="16">
        <f t="shared" si="4"/>
        <v>0</v>
      </c>
      <c r="Z40" s="16">
        <f t="shared" si="5"/>
        <v>0</v>
      </c>
      <c r="AA40" s="11" t="s">
        <v>51</v>
      </c>
      <c r="AB40" s="11"/>
      <c r="AC40" s="11"/>
      <c r="AD40" s="11"/>
      <c r="AE40" s="11">
        <v>7.4999999999999997E-3</v>
      </c>
      <c r="AF40" s="11" t="s">
        <v>130</v>
      </c>
      <c r="AG40" s="11" t="s">
        <v>194</v>
      </c>
      <c r="AH40" s="11" t="s">
        <v>59</v>
      </c>
      <c r="AI40" s="11"/>
    </row>
    <row r="41" spans="1:35" ht="29" x14ac:dyDescent="0.35">
      <c r="A41" s="10"/>
      <c r="B41" s="11" t="s">
        <v>195</v>
      </c>
      <c r="C41" s="11">
        <v>400</v>
      </c>
      <c r="D41" s="11" t="s">
        <v>196</v>
      </c>
      <c r="E41" s="11">
        <v>97575002</v>
      </c>
      <c r="F41" s="24"/>
      <c r="G41" s="24"/>
      <c r="H41" s="13"/>
      <c r="I41" s="14" t="b">
        <v>1</v>
      </c>
      <c r="J41" s="15">
        <v>45860</v>
      </c>
      <c r="K41" s="14" t="b">
        <v>0</v>
      </c>
      <c r="L41" s="15"/>
      <c r="M41" s="14" t="b">
        <v>0</v>
      </c>
      <c r="N41" s="15"/>
      <c r="O41" s="14" t="b">
        <v>0</v>
      </c>
      <c r="P41" s="15"/>
      <c r="Q41" s="14" t="b">
        <v>0</v>
      </c>
      <c r="R41" s="15"/>
      <c r="S41" s="11" t="str">
        <f t="shared" si="0"/>
        <v>En cours</v>
      </c>
      <c r="T41" s="16"/>
      <c r="U41" s="30" t="s">
        <v>197</v>
      </c>
      <c r="V41" s="16">
        <f t="shared" si="1"/>
        <v>1</v>
      </c>
      <c r="W41" s="16">
        <f t="shared" si="2"/>
        <v>0</v>
      </c>
      <c r="X41" s="16">
        <f t="shared" si="3"/>
        <v>0</v>
      </c>
      <c r="Y41" s="16">
        <f t="shared" si="4"/>
        <v>0</v>
      </c>
      <c r="Z41" s="16">
        <f t="shared" si="5"/>
        <v>0</v>
      </c>
      <c r="AA41" s="11" t="s">
        <v>64</v>
      </c>
      <c r="AB41" s="11"/>
      <c r="AC41" s="11"/>
      <c r="AD41" s="11"/>
      <c r="AE41" s="11"/>
      <c r="AF41" s="11"/>
      <c r="AG41" s="11"/>
      <c r="AH41" s="11" t="s">
        <v>59</v>
      </c>
      <c r="AI41" s="11"/>
    </row>
    <row r="42" spans="1:35" x14ac:dyDescent="0.35">
      <c r="A42" s="10">
        <v>9</v>
      </c>
      <c r="B42" s="11" t="s">
        <v>198</v>
      </c>
      <c r="C42" s="11">
        <v>600</v>
      </c>
      <c r="D42" s="11" t="s">
        <v>199</v>
      </c>
      <c r="E42" s="32">
        <v>97367957</v>
      </c>
      <c r="F42" s="11" t="s">
        <v>200</v>
      </c>
      <c r="H42" s="13"/>
      <c r="I42" s="14" t="b">
        <v>0</v>
      </c>
      <c r="J42" s="15"/>
      <c r="K42" s="14" t="b">
        <v>0</v>
      </c>
      <c r="L42" s="15"/>
      <c r="M42" s="14" t="b">
        <v>0</v>
      </c>
      <c r="N42" s="15"/>
      <c r="O42" s="14" t="b">
        <v>0</v>
      </c>
      <c r="P42" s="15"/>
      <c r="Q42" s="14" t="b">
        <v>0</v>
      </c>
      <c r="R42" s="15"/>
      <c r="S42" s="11" t="str">
        <f t="shared" si="0"/>
        <v>Non démarré</v>
      </c>
      <c r="T42" s="16" t="s">
        <v>41</v>
      </c>
      <c r="U42" s="30"/>
      <c r="V42" s="16">
        <f t="shared" si="1"/>
        <v>0</v>
      </c>
      <c r="W42" s="16">
        <f t="shared" si="2"/>
        <v>0</v>
      </c>
      <c r="X42" s="16">
        <f t="shared" si="3"/>
        <v>0</v>
      </c>
      <c r="Y42" s="16">
        <f t="shared" si="4"/>
        <v>0</v>
      </c>
      <c r="Z42" s="16">
        <f t="shared" si="5"/>
        <v>0</v>
      </c>
      <c r="AA42" s="11" t="s">
        <v>64</v>
      </c>
      <c r="AB42" s="11"/>
      <c r="AC42" s="11"/>
      <c r="AD42" s="11"/>
      <c r="AE42" s="11"/>
      <c r="AF42" s="11"/>
      <c r="AG42" s="11"/>
      <c r="AH42" s="11" t="s">
        <v>59</v>
      </c>
      <c r="AI42" s="11"/>
    </row>
    <row r="43" spans="1:35" x14ac:dyDescent="0.35">
      <c r="A43" s="2">
        <v>13</v>
      </c>
      <c r="B43" s="36" t="s">
        <v>184</v>
      </c>
      <c r="C43" s="3">
        <v>400</v>
      </c>
      <c r="D43" s="3" t="s">
        <v>201</v>
      </c>
      <c r="E43" s="3">
        <v>58608535</v>
      </c>
      <c r="F43" s="3" t="s">
        <v>202</v>
      </c>
      <c r="G43" s="24"/>
      <c r="H43" s="13"/>
      <c r="I43" s="37" t="b">
        <v>0</v>
      </c>
      <c r="J43" s="15"/>
      <c r="K43" s="37" t="b">
        <v>0</v>
      </c>
      <c r="L43" s="38"/>
      <c r="M43" s="37" t="b">
        <v>0</v>
      </c>
      <c r="N43" s="38"/>
      <c r="O43" s="37" t="b">
        <v>0</v>
      </c>
      <c r="P43" s="38"/>
      <c r="Q43" s="37" t="b">
        <v>0</v>
      </c>
      <c r="R43" s="38"/>
      <c r="S43" s="11" t="str">
        <f t="shared" si="0"/>
        <v>Non démarré</v>
      </c>
      <c r="T43" s="16" t="s">
        <v>41</v>
      </c>
      <c r="U43" s="11"/>
      <c r="V43" s="16">
        <f t="shared" si="1"/>
        <v>0</v>
      </c>
      <c r="W43" s="39">
        <f t="shared" si="2"/>
        <v>0</v>
      </c>
      <c r="X43" s="39">
        <f t="shared" si="3"/>
        <v>0</v>
      </c>
      <c r="Y43" s="39">
        <f t="shared" si="4"/>
        <v>0</v>
      </c>
      <c r="Z43" s="16">
        <f t="shared" si="5"/>
        <v>0</v>
      </c>
      <c r="AA43" s="3" t="s">
        <v>64</v>
      </c>
      <c r="AB43" s="3"/>
      <c r="AC43" s="3"/>
      <c r="AD43" s="3"/>
      <c r="AE43" s="3"/>
      <c r="AF43" s="3"/>
      <c r="AG43" s="3"/>
      <c r="AH43" s="3" t="s">
        <v>59</v>
      </c>
      <c r="AI43" s="3"/>
    </row>
    <row r="44" spans="1:35" x14ac:dyDescent="0.35">
      <c r="A44" s="10">
        <v>14</v>
      </c>
      <c r="B44" s="11" t="s">
        <v>203</v>
      </c>
      <c r="C44" s="11"/>
      <c r="D44" s="11" t="s">
        <v>204</v>
      </c>
      <c r="E44" s="11">
        <v>29325638</v>
      </c>
      <c r="F44" s="11" t="s">
        <v>205</v>
      </c>
      <c r="G44" s="3"/>
      <c r="H44" s="13"/>
      <c r="I44" s="14" t="b">
        <v>0</v>
      </c>
      <c r="J44" s="15"/>
      <c r="K44" s="14" t="b">
        <v>0</v>
      </c>
      <c r="L44" s="15"/>
      <c r="M44" s="14" t="b">
        <v>0</v>
      </c>
      <c r="N44" s="15"/>
      <c r="O44" s="14" t="b">
        <v>0</v>
      </c>
      <c r="P44" s="15"/>
      <c r="Q44" s="14" t="b">
        <v>0</v>
      </c>
      <c r="R44" s="15"/>
      <c r="S44" s="11" t="str">
        <f t="shared" si="0"/>
        <v>Non démarré</v>
      </c>
      <c r="T44" s="16" t="s">
        <v>41</v>
      </c>
      <c r="U44" s="11"/>
      <c r="V44" s="16">
        <f t="shared" si="1"/>
        <v>0</v>
      </c>
      <c r="W44" s="16">
        <f t="shared" si="2"/>
        <v>0</v>
      </c>
      <c r="X44" s="16">
        <f t="shared" si="3"/>
        <v>0</v>
      </c>
      <c r="Y44" s="16">
        <f t="shared" si="4"/>
        <v>0</v>
      </c>
      <c r="Z44" s="16">
        <f t="shared" si="5"/>
        <v>0</v>
      </c>
      <c r="AA44" s="11" t="s">
        <v>51</v>
      </c>
      <c r="AB44" s="11"/>
      <c r="AC44" s="11"/>
      <c r="AD44" s="11"/>
      <c r="AE44" s="11"/>
      <c r="AF44" s="11"/>
      <c r="AG44" s="11"/>
      <c r="AH44" s="11" t="s">
        <v>59</v>
      </c>
      <c r="AI44" s="11"/>
    </row>
    <row r="45" spans="1:35" x14ac:dyDescent="0.35">
      <c r="A45" s="10">
        <v>15</v>
      </c>
      <c r="B45" s="11" t="s">
        <v>0</v>
      </c>
      <c r="C45" s="11"/>
      <c r="D45" s="11" t="s">
        <v>206</v>
      </c>
      <c r="E45" s="11">
        <v>29054839</v>
      </c>
      <c r="F45" s="11" t="s">
        <v>207</v>
      </c>
      <c r="G45" s="11"/>
      <c r="H45" s="13"/>
      <c r="I45" s="14" t="b">
        <v>0</v>
      </c>
      <c r="J45" s="15"/>
      <c r="K45" s="14" t="b">
        <v>0</v>
      </c>
      <c r="L45" s="15"/>
      <c r="M45" s="14" t="b">
        <v>0</v>
      </c>
      <c r="N45" s="15"/>
      <c r="O45" s="14" t="b">
        <v>0</v>
      </c>
      <c r="P45" s="15"/>
      <c r="Q45" s="14" t="b">
        <v>0</v>
      </c>
      <c r="R45" s="15"/>
      <c r="S45" s="11" t="str">
        <f t="shared" si="0"/>
        <v>Non démarré</v>
      </c>
      <c r="T45" s="16" t="s">
        <v>41</v>
      </c>
      <c r="U45" s="11"/>
      <c r="V45" s="16">
        <f t="shared" si="1"/>
        <v>0</v>
      </c>
      <c r="W45" s="16">
        <f t="shared" si="2"/>
        <v>0</v>
      </c>
      <c r="X45" s="16">
        <f t="shared" si="3"/>
        <v>0</v>
      </c>
      <c r="Y45" s="16">
        <f t="shared" si="4"/>
        <v>0</v>
      </c>
      <c r="Z45" s="16">
        <f t="shared" si="5"/>
        <v>0</v>
      </c>
      <c r="AA45" s="11" t="s">
        <v>64</v>
      </c>
      <c r="AB45" s="11"/>
      <c r="AC45" s="11"/>
      <c r="AD45" s="11"/>
      <c r="AE45" s="11"/>
      <c r="AF45" s="11"/>
      <c r="AG45" s="11"/>
      <c r="AH45" s="11"/>
      <c r="AI45" s="11"/>
    </row>
    <row r="46" spans="1:35" ht="29" x14ac:dyDescent="0.35">
      <c r="A46" s="10">
        <v>18</v>
      </c>
      <c r="B46" s="11" t="s">
        <v>208</v>
      </c>
      <c r="C46" s="11">
        <v>1300</v>
      </c>
      <c r="D46" s="11" t="s">
        <v>209</v>
      </c>
      <c r="E46" s="11">
        <v>98755059</v>
      </c>
      <c r="F46" s="11" t="s">
        <v>210</v>
      </c>
      <c r="G46" s="11"/>
      <c r="H46" s="13"/>
      <c r="I46" s="14" t="b">
        <v>1</v>
      </c>
      <c r="J46" s="15">
        <v>45889</v>
      </c>
      <c r="K46" s="14" t="b">
        <v>0</v>
      </c>
      <c r="L46" s="15"/>
      <c r="M46" s="14" t="b">
        <v>0</v>
      </c>
      <c r="N46" s="15"/>
      <c r="O46" s="14" t="b">
        <v>0</v>
      </c>
      <c r="P46" s="15"/>
      <c r="Q46" s="14" t="b">
        <v>0</v>
      </c>
      <c r="R46" s="15"/>
      <c r="S46" s="11" t="str">
        <f t="shared" si="0"/>
        <v>En cours</v>
      </c>
      <c r="T46" s="16" t="s">
        <v>41</v>
      </c>
      <c r="U46" s="30" t="s">
        <v>211</v>
      </c>
      <c r="V46" s="16">
        <f t="shared" si="1"/>
        <v>1</v>
      </c>
      <c r="W46" s="16">
        <f t="shared" si="2"/>
        <v>0</v>
      </c>
      <c r="X46" s="16">
        <f t="shared" si="3"/>
        <v>0</v>
      </c>
      <c r="Y46" s="16">
        <f t="shared" si="4"/>
        <v>0</v>
      </c>
      <c r="Z46" s="16">
        <f t="shared" si="5"/>
        <v>0</v>
      </c>
      <c r="AA46" s="11" t="s">
        <v>64</v>
      </c>
      <c r="AB46" s="11"/>
      <c r="AC46" s="11"/>
      <c r="AD46" s="11"/>
      <c r="AE46" s="11"/>
      <c r="AF46" s="11"/>
      <c r="AG46" s="11" t="s">
        <v>212</v>
      </c>
      <c r="AH46" s="11" t="s">
        <v>59</v>
      </c>
      <c r="AI46" s="11"/>
    </row>
    <row r="47" spans="1:35" x14ac:dyDescent="0.35">
      <c r="A47" s="10">
        <v>16</v>
      </c>
      <c r="B47" s="11" t="s">
        <v>213</v>
      </c>
      <c r="C47" s="11">
        <v>330</v>
      </c>
      <c r="D47" s="11" t="s">
        <v>214</v>
      </c>
      <c r="E47" s="11" t="s">
        <v>215</v>
      </c>
      <c r="F47" s="11" t="s">
        <v>216</v>
      </c>
      <c r="G47" s="11"/>
      <c r="H47" s="13"/>
      <c r="I47" s="14" t="b">
        <v>0</v>
      </c>
      <c r="J47" s="15"/>
      <c r="K47" s="14" t="b">
        <v>0</v>
      </c>
      <c r="L47" s="15"/>
      <c r="M47" s="14" t="b">
        <v>0</v>
      </c>
      <c r="N47" s="15"/>
      <c r="O47" s="14" t="b">
        <v>0</v>
      </c>
      <c r="P47" s="15"/>
      <c r="Q47" s="14" t="b">
        <v>0</v>
      </c>
      <c r="R47" s="15"/>
      <c r="S47" s="11" t="str">
        <f t="shared" si="0"/>
        <v>Non démarré</v>
      </c>
      <c r="T47" s="16" t="s">
        <v>41</v>
      </c>
      <c r="U47" s="11"/>
      <c r="V47" s="16">
        <f t="shared" si="1"/>
        <v>0</v>
      </c>
      <c r="W47" s="16">
        <f t="shared" si="2"/>
        <v>0</v>
      </c>
      <c r="X47" s="16">
        <f t="shared" si="3"/>
        <v>0</v>
      </c>
      <c r="Y47" s="16">
        <f t="shared" si="4"/>
        <v>0</v>
      </c>
      <c r="Z47" s="16">
        <f t="shared" si="5"/>
        <v>0</v>
      </c>
      <c r="AA47" s="11" t="s">
        <v>64</v>
      </c>
      <c r="AB47" s="11"/>
      <c r="AC47" s="11"/>
      <c r="AD47" s="11" t="s">
        <v>111</v>
      </c>
      <c r="AE47" s="11">
        <v>7.4999999999999997E-3</v>
      </c>
      <c r="AF47" s="11" t="s">
        <v>118</v>
      </c>
      <c r="AG47" s="11" t="s">
        <v>217</v>
      </c>
      <c r="AH47" s="11" t="s">
        <v>59</v>
      </c>
      <c r="AI47" s="11"/>
    </row>
    <row r="48" spans="1:35" x14ac:dyDescent="0.35">
      <c r="A48" s="10">
        <v>20</v>
      </c>
      <c r="B48" s="11" t="s">
        <v>218</v>
      </c>
      <c r="C48" s="11">
        <v>1400</v>
      </c>
      <c r="D48" s="11" t="s">
        <v>219</v>
      </c>
      <c r="E48" s="11">
        <v>58571275</v>
      </c>
      <c r="F48" s="11" t="s">
        <v>220</v>
      </c>
      <c r="G48" s="11"/>
      <c r="H48" s="13"/>
      <c r="I48" s="14" t="b">
        <v>0</v>
      </c>
      <c r="J48" s="15"/>
      <c r="K48" s="14" t="b">
        <v>0</v>
      </c>
      <c r="L48" s="15"/>
      <c r="M48" s="14" t="b">
        <v>0</v>
      </c>
      <c r="N48" s="15"/>
      <c r="O48" s="14" t="b">
        <v>0</v>
      </c>
      <c r="P48" s="15"/>
      <c r="Q48" s="14" t="b">
        <v>0</v>
      </c>
      <c r="R48" s="15"/>
      <c r="S48" s="11" t="str">
        <f t="shared" si="0"/>
        <v>Non démarré</v>
      </c>
      <c r="T48" s="16" t="s">
        <v>41</v>
      </c>
      <c r="U48" s="11"/>
      <c r="V48" s="16">
        <f t="shared" si="1"/>
        <v>0</v>
      </c>
      <c r="W48" s="16">
        <f t="shared" si="2"/>
        <v>0</v>
      </c>
      <c r="X48" s="16">
        <f t="shared" si="3"/>
        <v>0</v>
      </c>
      <c r="Y48" s="16">
        <f t="shared" si="4"/>
        <v>0</v>
      </c>
      <c r="Z48" s="16">
        <f t="shared" si="5"/>
        <v>0</v>
      </c>
      <c r="AA48" s="24" t="s">
        <v>64</v>
      </c>
      <c r="AB48" s="24">
        <v>3000</v>
      </c>
      <c r="AC48" s="24">
        <v>1000</v>
      </c>
      <c r="AD48" s="24" t="s">
        <v>183</v>
      </c>
      <c r="AE48" s="24"/>
      <c r="AF48" s="24" t="s">
        <v>130</v>
      </c>
      <c r="AG48" s="24" t="s">
        <v>221</v>
      </c>
      <c r="AH48" s="24" t="s">
        <v>52</v>
      </c>
      <c r="AI48" s="24"/>
    </row>
    <row r="49" spans="1:35" x14ac:dyDescent="0.35">
      <c r="A49" s="40">
        <v>2</v>
      </c>
      <c r="B49" s="41" t="s">
        <v>222</v>
      </c>
      <c r="C49" s="41">
        <v>750</v>
      </c>
      <c r="D49" s="42" t="s">
        <v>223</v>
      </c>
      <c r="E49" s="42">
        <v>99822004</v>
      </c>
      <c r="F49" s="42" t="s">
        <v>224</v>
      </c>
      <c r="G49" s="42"/>
      <c r="H49" s="13"/>
      <c r="I49" s="43" t="b">
        <v>0</v>
      </c>
      <c r="J49" s="15"/>
      <c r="K49" s="43" t="b">
        <v>0</v>
      </c>
      <c r="L49" s="44"/>
      <c r="M49" s="43" t="b">
        <v>0</v>
      </c>
      <c r="N49" s="44"/>
      <c r="O49" s="43" t="b">
        <v>0</v>
      </c>
      <c r="P49" s="44"/>
      <c r="Q49" s="43" t="b">
        <v>0</v>
      </c>
      <c r="R49" s="44"/>
      <c r="S49" s="11" t="str">
        <f t="shared" si="0"/>
        <v>Non démarré</v>
      </c>
      <c r="T49" s="16" t="s">
        <v>41</v>
      </c>
      <c r="U49" s="11"/>
      <c r="V49" s="16">
        <f t="shared" si="1"/>
        <v>0</v>
      </c>
      <c r="W49" s="45">
        <f t="shared" si="2"/>
        <v>0</v>
      </c>
      <c r="X49" s="45">
        <f t="shared" si="3"/>
        <v>0</v>
      </c>
      <c r="Y49" s="45">
        <f t="shared" si="4"/>
        <v>0</v>
      </c>
      <c r="Z49" s="16">
        <f t="shared" si="5"/>
        <v>0</v>
      </c>
      <c r="AA49" s="42" t="s">
        <v>51</v>
      </c>
      <c r="AB49" s="42">
        <v>530</v>
      </c>
      <c r="AC49" s="42">
        <v>1500</v>
      </c>
      <c r="AD49" s="42" t="s">
        <v>225</v>
      </c>
      <c r="AE49" s="42">
        <v>7.4999999999999997E-3</v>
      </c>
      <c r="AF49" s="42" t="s">
        <v>226</v>
      </c>
      <c r="AG49" s="42"/>
      <c r="AH49" s="42" t="s">
        <v>52</v>
      </c>
      <c r="AI49" s="42" t="s">
        <v>227</v>
      </c>
    </row>
    <row r="50" spans="1:35" x14ac:dyDescent="0.35">
      <c r="A50" s="40">
        <v>8</v>
      </c>
      <c r="B50" s="41" t="s">
        <v>228</v>
      </c>
      <c r="C50" s="41">
        <v>400</v>
      </c>
      <c r="D50" s="42" t="s">
        <v>229</v>
      </c>
      <c r="E50" s="42">
        <v>29505913</v>
      </c>
      <c r="F50" s="42" t="s">
        <v>230</v>
      </c>
      <c r="G50" s="42"/>
      <c r="H50" s="13"/>
      <c r="I50" s="43" t="b">
        <v>0</v>
      </c>
      <c r="J50" s="15"/>
      <c r="K50" s="43" t="b">
        <v>0</v>
      </c>
      <c r="L50" s="44"/>
      <c r="M50" s="43" t="b">
        <v>0</v>
      </c>
      <c r="N50" s="44"/>
      <c r="O50" s="43" t="b">
        <v>0</v>
      </c>
      <c r="P50" s="44"/>
      <c r="Q50" s="43" t="b">
        <v>0</v>
      </c>
      <c r="R50" s="44"/>
      <c r="S50" s="11" t="str">
        <f t="shared" si="0"/>
        <v>Non démarré</v>
      </c>
      <c r="T50" s="16" t="s">
        <v>41</v>
      </c>
      <c r="U50" s="11"/>
      <c r="V50" s="16">
        <f t="shared" si="1"/>
        <v>0</v>
      </c>
      <c r="W50" s="16">
        <f t="shared" si="2"/>
        <v>0</v>
      </c>
      <c r="X50" s="16">
        <f t="shared" si="3"/>
        <v>0</v>
      </c>
      <c r="Y50" s="16">
        <f t="shared" si="4"/>
        <v>0</v>
      </c>
      <c r="Z50" s="16">
        <f t="shared" si="5"/>
        <v>0</v>
      </c>
      <c r="AA50" s="24" t="s">
        <v>64</v>
      </c>
      <c r="AB50" s="41"/>
      <c r="AC50" s="41"/>
      <c r="AD50" s="42" t="s">
        <v>225</v>
      </c>
      <c r="AE50" s="42">
        <v>7.4999999999999997E-3</v>
      </c>
      <c r="AF50" s="42" t="s">
        <v>226</v>
      </c>
      <c r="AG50" s="41"/>
      <c r="AH50" s="11" t="s">
        <v>44</v>
      </c>
      <c r="AI50" s="41"/>
    </row>
    <row r="51" spans="1:35" x14ac:dyDescent="0.35">
      <c r="A51" s="40">
        <v>11</v>
      </c>
      <c r="B51" s="41" t="s">
        <v>231</v>
      </c>
      <c r="C51" s="41"/>
      <c r="D51" s="41" t="s">
        <v>232</v>
      </c>
      <c r="E51" s="41">
        <v>22312834</v>
      </c>
      <c r="F51" s="41" t="s">
        <v>233</v>
      </c>
      <c r="G51" s="41"/>
      <c r="H51" s="13"/>
      <c r="I51" s="43" t="b">
        <v>0</v>
      </c>
      <c r="J51" s="15"/>
      <c r="K51" s="43" t="b">
        <v>0</v>
      </c>
      <c r="L51" s="44"/>
      <c r="M51" s="43" t="b">
        <v>0</v>
      </c>
      <c r="N51" s="44"/>
      <c r="O51" s="43" t="b">
        <v>0</v>
      </c>
      <c r="P51" s="44"/>
      <c r="Q51" s="43" t="b">
        <v>0</v>
      </c>
      <c r="R51" s="44"/>
      <c r="S51" s="11" t="str">
        <f t="shared" si="0"/>
        <v>Non démarré</v>
      </c>
      <c r="T51" s="16" t="s">
        <v>41</v>
      </c>
      <c r="U51" s="45"/>
      <c r="V51" s="16">
        <f t="shared" si="1"/>
        <v>0</v>
      </c>
      <c r="W51">
        <f t="shared" si="2"/>
        <v>0</v>
      </c>
      <c r="X51">
        <f t="shared" si="3"/>
        <v>0</v>
      </c>
      <c r="Y51">
        <f t="shared" si="4"/>
        <v>0</v>
      </c>
      <c r="Z51" s="16">
        <f t="shared" si="5"/>
        <v>0</v>
      </c>
    </row>
    <row r="52" spans="1:35" x14ac:dyDescent="0.35">
      <c r="A52" s="40">
        <v>10</v>
      </c>
      <c r="B52" s="41" t="s">
        <v>0</v>
      </c>
      <c r="C52" s="41">
        <v>660</v>
      </c>
      <c r="D52" s="41" t="s">
        <v>234</v>
      </c>
      <c r="E52" s="41">
        <v>29133785</v>
      </c>
      <c r="F52" s="41" t="s">
        <v>235</v>
      </c>
      <c r="G52" s="41"/>
      <c r="H52" s="13"/>
      <c r="I52" s="43" t="b">
        <v>0</v>
      </c>
      <c r="J52" s="15"/>
      <c r="K52" s="43" t="b">
        <v>0</v>
      </c>
      <c r="L52" s="44"/>
      <c r="M52" s="43" t="b">
        <v>0</v>
      </c>
      <c r="N52" s="44"/>
      <c r="O52" s="43" t="b">
        <v>0</v>
      </c>
      <c r="P52" s="44"/>
      <c r="Q52" s="43" t="b">
        <v>0</v>
      </c>
      <c r="R52" s="44"/>
      <c r="S52" s="11" t="str">
        <f t="shared" si="0"/>
        <v>Non démarré</v>
      </c>
      <c r="T52" s="16" t="s">
        <v>41</v>
      </c>
      <c r="U52" s="45"/>
      <c r="V52" s="16">
        <f t="shared" si="1"/>
        <v>0</v>
      </c>
      <c r="W52">
        <f t="shared" si="2"/>
        <v>0</v>
      </c>
      <c r="X52">
        <f t="shared" si="3"/>
        <v>0</v>
      </c>
      <c r="Y52">
        <f t="shared" si="4"/>
        <v>0</v>
      </c>
      <c r="Z52" s="16">
        <f t="shared" si="5"/>
        <v>0</v>
      </c>
    </row>
    <row r="53" spans="1:35" x14ac:dyDescent="0.35">
      <c r="A53" s="40">
        <v>23</v>
      </c>
      <c r="B53" s="41" t="s">
        <v>236</v>
      </c>
      <c r="C53" s="41">
        <v>1000</v>
      </c>
      <c r="D53" s="41" t="s">
        <v>237</v>
      </c>
      <c r="E53" s="41">
        <v>99439255</v>
      </c>
      <c r="F53" s="41" t="s">
        <v>169</v>
      </c>
      <c r="G53" s="41"/>
      <c r="H53" s="13"/>
      <c r="I53" s="43" t="b">
        <v>0</v>
      </c>
      <c r="J53" s="15"/>
      <c r="K53" s="43" t="b">
        <v>0</v>
      </c>
      <c r="L53" s="44"/>
      <c r="M53" s="43" t="b">
        <v>0</v>
      </c>
      <c r="N53" s="44"/>
      <c r="O53" s="43" t="b">
        <v>0</v>
      </c>
      <c r="P53" s="44"/>
      <c r="Q53" s="43" t="b">
        <v>0</v>
      </c>
      <c r="R53" s="44"/>
      <c r="S53" s="11" t="str">
        <f t="shared" si="0"/>
        <v>Non démarré</v>
      </c>
      <c r="T53" s="16" t="s">
        <v>41</v>
      </c>
      <c r="U53" s="45"/>
      <c r="V53" s="16">
        <f t="shared" si="1"/>
        <v>0</v>
      </c>
      <c r="W53">
        <f t="shared" si="2"/>
        <v>0</v>
      </c>
      <c r="X53">
        <f t="shared" si="3"/>
        <v>0</v>
      </c>
      <c r="Y53">
        <f t="shared" si="4"/>
        <v>0</v>
      </c>
      <c r="Z53" s="16">
        <f t="shared" si="5"/>
        <v>0</v>
      </c>
    </row>
    <row r="54" spans="1:35" x14ac:dyDescent="0.35">
      <c r="A54" s="40">
        <v>22</v>
      </c>
      <c r="B54" s="41" t="s">
        <v>238</v>
      </c>
      <c r="C54" s="41">
        <v>4706</v>
      </c>
      <c r="D54" s="41" t="s">
        <v>239</v>
      </c>
      <c r="E54" s="41">
        <v>24099407</v>
      </c>
      <c r="F54" s="41" t="s">
        <v>240</v>
      </c>
      <c r="G54" s="41"/>
      <c r="H54" s="46"/>
      <c r="I54" s="43" t="b">
        <v>0</v>
      </c>
      <c r="J54" s="44"/>
      <c r="K54" s="43" t="b">
        <v>0</v>
      </c>
      <c r="L54" s="44"/>
      <c r="M54" s="43" t="b">
        <v>0</v>
      </c>
      <c r="N54" s="44"/>
      <c r="O54" s="43" t="b">
        <v>0</v>
      </c>
      <c r="P54" s="44"/>
      <c r="Q54" s="43" t="b">
        <v>0</v>
      </c>
      <c r="R54" s="44"/>
      <c r="S54" s="11" t="str">
        <f t="shared" si="0"/>
        <v>Non démarré</v>
      </c>
      <c r="T54" s="16" t="s">
        <v>41</v>
      </c>
      <c r="U54" s="45"/>
      <c r="V54" s="16">
        <f t="shared" si="1"/>
        <v>0</v>
      </c>
      <c r="W54">
        <f t="shared" si="2"/>
        <v>0</v>
      </c>
      <c r="X54">
        <f t="shared" si="3"/>
        <v>0</v>
      </c>
      <c r="Y54">
        <f t="shared" si="4"/>
        <v>0</v>
      </c>
      <c r="Z54" s="16">
        <f t="shared" si="5"/>
        <v>0</v>
      </c>
    </row>
    <row r="55" spans="1:35" x14ac:dyDescent="0.35">
      <c r="A55" s="40">
        <v>7</v>
      </c>
      <c r="B55" s="41" t="s">
        <v>241</v>
      </c>
      <c r="C55" s="41">
        <v>53</v>
      </c>
      <c r="D55" s="41" t="s">
        <v>242</v>
      </c>
      <c r="E55" s="41">
        <v>51370343</v>
      </c>
      <c r="F55" s="41" t="s">
        <v>243</v>
      </c>
      <c r="G55" s="41"/>
      <c r="H55" s="46"/>
      <c r="I55" s="43" t="b">
        <v>0</v>
      </c>
      <c r="J55" s="44"/>
      <c r="K55" s="43" t="b">
        <v>0</v>
      </c>
      <c r="L55" s="44"/>
      <c r="M55" s="43" t="b">
        <v>0</v>
      </c>
      <c r="N55" s="44"/>
      <c r="O55" s="43" t="b">
        <v>0</v>
      </c>
      <c r="P55" s="44"/>
      <c r="Q55" s="43" t="b">
        <v>0</v>
      </c>
      <c r="R55" s="44"/>
      <c r="S55" s="11" t="str">
        <f t="shared" si="0"/>
        <v>Non démarré</v>
      </c>
      <c r="T55" s="16" t="s">
        <v>41</v>
      </c>
      <c r="U55" s="45"/>
      <c r="V55" s="16">
        <f t="shared" si="1"/>
        <v>0</v>
      </c>
      <c r="W55">
        <f t="shared" si="2"/>
        <v>0</v>
      </c>
      <c r="X55">
        <f t="shared" si="3"/>
        <v>0</v>
      </c>
      <c r="Y55">
        <f t="shared" si="4"/>
        <v>0</v>
      </c>
      <c r="Z55" s="16">
        <f t="shared" si="5"/>
        <v>0</v>
      </c>
    </row>
    <row r="56" spans="1:35" ht="16" customHeight="1" x14ac:dyDescent="0.35">
      <c r="A56" s="11">
        <v>1</v>
      </c>
      <c r="B56" s="11" t="s">
        <v>244</v>
      </c>
      <c r="C56" s="11">
        <v>500</v>
      </c>
      <c r="D56" s="11" t="s">
        <v>245</v>
      </c>
      <c r="E56" s="11">
        <v>52452875</v>
      </c>
      <c r="F56" s="11" t="s">
        <v>246</v>
      </c>
      <c r="G56" s="11"/>
      <c r="H56" s="46"/>
      <c r="I56" s="43" t="b">
        <v>0</v>
      </c>
      <c r="J56" s="44"/>
      <c r="K56" s="43" t="b">
        <v>0</v>
      </c>
      <c r="L56" s="44"/>
      <c r="M56" s="43" t="b">
        <v>0</v>
      </c>
      <c r="N56" s="44"/>
      <c r="O56" s="43" t="b">
        <v>0</v>
      </c>
      <c r="P56" s="44"/>
      <c r="Q56" s="43" t="b">
        <v>0</v>
      </c>
      <c r="R56" s="44"/>
      <c r="S56" s="11" t="str">
        <f t="shared" si="0"/>
        <v>Non démarré</v>
      </c>
      <c r="T56" s="16" t="s">
        <v>41</v>
      </c>
      <c r="U56" s="45"/>
      <c r="V56" s="16">
        <f t="shared" si="1"/>
        <v>0</v>
      </c>
      <c r="W56">
        <f t="shared" si="2"/>
        <v>0</v>
      </c>
      <c r="X56">
        <f t="shared" si="3"/>
        <v>0</v>
      </c>
      <c r="Y56">
        <f t="shared" si="4"/>
        <v>0</v>
      </c>
      <c r="Z56" s="16">
        <f t="shared" si="5"/>
        <v>0</v>
      </c>
    </row>
    <row r="57" spans="1:35" ht="16" customHeight="1" x14ac:dyDescent="0.35">
      <c r="A57" s="11">
        <v>19</v>
      </c>
      <c r="B57" s="11" t="s">
        <v>247</v>
      </c>
      <c r="C57" s="11">
        <v>1400</v>
      </c>
      <c r="D57" s="11" t="s">
        <v>248</v>
      </c>
      <c r="E57" s="11">
        <v>28919042</v>
      </c>
      <c r="F57" s="11" t="s">
        <v>249</v>
      </c>
      <c r="H57" s="47"/>
      <c r="I57" s="43" t="b">
        <v>0</v>
      </c>
      <c r="J57" s="44"/>
      <c r="K57" s="43" t="b">
        <v>0</v>
      </c>
      <c r="L57" s="44"/>
      <c r="M57" s="43" t="b">
        <v>0</v>
      </c>
      <c r="N57" s="44"/>
      <c r="O57" s="43" t="b">
        <v>0</v>
      </c>
      <c r="P57" s="44"/>
      <c r="Q57" s="14" t="b">
        <v>0</v>
      </c>
      <c r="R57" s="44"/>
      <c r="S57" s="11" t="str">
        <f t="shared" si="0"/>
        <v>Non démarré</v>
      </c>
      <c r="T57" s="16" t="s">
        <v>41</v>
      </c>
      <c r="U57" s="16"/>
      <c r="V57" s="16">
        <f t="shared" si="1"/>
        <v>0</v>
      </c>
      <c r="W57">
        <f t="shared" si="2"/>
        <v>0</v>
      </c>
      <c r="X57">
        <f t="shared" si="3"/>
        <v>0</v>
      </c>
      <c r="Y57">
        <f t="shared" si="4"/>
        <v>0</v>
      </c>
      <c r="Z57" s="16">
        <f t="shared" si="5"/>
        <v>0</v>
      </c>
    </row>
    <row r="58" spans="1:35" x14ac:dyDescent="0.35">
      <c r="A58" s="10">
        <v>29</v>
      </c>
      <c r="B58" t="s">
        <v>250</v>
      </c>
      <c r="C58">
        <v>90</v>
      </c>
      <c r="D58" t="s">
        <v>251</v>
      </c>
      <c r="E58">
        <v>73462989</v>
      </c>
      <c r="F58" s="11" t="s">
        <v>47</v>
      </c>
      <c r="G58" s="11"/>
      <c r="H58" s="47"/>
      <c r="I58" s="14" t="b">
        <v>0</v>
      </c>
      <c r="J58" s="44"/>
      <c r="K58" s="43" t="b">
        <v>0</v>
      </c>
      <c r="L58" s="44"/>
      <c r="M58" s="43" t="b">
        <v>0</v>
      </c>
      <c r="N58" s="44"/>
      <c r="O58" s="43" t="b">
        <v>0</v>
      </c>
      <c r="P58" s="44"/>
      <c r="Q58" s="14" t="b">
        <v>0</v>
      </c>
      <c r="R58" s="44"/>
      <c r="S58" s="11" t="str">
        <f t="shared" si="0"/>
        <v>Non démarré</v>
      </c>
      <c r="T58" s="16" t="s">
        <v>41</v>
      </c>
      <c r="U58" s="16"/>
      <c r="V58" s="16">
        <f t="shared" si="1"/>
        <v>0</v>
      </c>
      <c r="W58">
        <f t="shared" si="2"/>
        <v>0</v>
      </c>
      <c r="X58">
        <f t="shared" si="3"/>
        <v>0</v>
      </c>
      <c r="Y58">
        <f t="shared" si="4"/>
        <v>0</v>
      </c>
      <c r="Z58" s="16">
        <f t="shared" si="5"/>
        <v>0</v>
      </c>
    </row>
    <row r="59" spans="1:35" x14ac:dyDescent="0.35">
      <c r="A59" s="10">
        <v>34</v>
      </c>
      <c r="B59" s="41" t="s">
        <v>252</v>
      </c>
      <c r="C59" s="41">
        <v>1500</v>
      </c>
      <c r="D59" s="41" t="s">
        <v>253</v>
      </c>
      <c r="E59" s="41">
        <v>98400043</v>
      </c>
      <c r="F59" s="11" t="s">
        <v>254</v>
      </c>
      <c r="G59" s="11"/>
      <c r="H59" s="47"/>
      <c r="I59" s="14" t="b">
        <v>0</v>
      </c>
      <c r="J59" s="44"/>
      <c r="K59" s="43" t="b">
        <v>0</v>
      </c>
      <c r="L59" s="44"/>
      <c r="M59" s="43" t="b">
        <v>0</v>
      </c>
      <c r="N59" s="44"/>
      <c r="O59" s="43" t="b">
        <v>0</v>
      </c>
      <c r="P59" s="44"/>
      <c r="Q59" s="14" t="b">
        <v>0</v>
      </c>
      <c r="R59" s="44"/>
      <c r="S59" s="11" t="str">
        <f t="shared" si="0"/>
        <v>Non démarré</v>
      </c>
      <c r="T59" s="16" t="s">
        <v>41</v>
      </c>
      <c r="U59" s="16"/>
      <c r="V59">
        <f t="shared" si="1"/>
        <v>0</v>
      </c>
      <c r="W59">
        <f t="shared" si="2"/>
        <v>0</v>
      </c>
      <c r="X59">
        <f t="shared" si="3"/>
        <v>0</v>
      </c>
      <c r="Y59">
        <f t="shared" si="4"/>
        <v>0</v>
      </c>
      <c r="Z59">
        <f t="shared" si="5"/>
        <v>0</v>
      </c>
    </row>
    <row r="60" spans="1:35" x14ac:dyDescent="0.35">
      <c r="A60" s="10">
        <v>36</v>
      </c>
      <c r="B60" s="11" t="s">
        <v>255</v>
      </c>
      <c r="C60" s="11">
        <v>1800</v>
      </c>
      <c r="D60" s="11" t="s">
        <v>256</v>
      </c>
      <c r="E60" s="11">
        <v>98767046</v>
      </c>
      <c r="F60" s="11" t="s">
        <v>257</v>
      </c>
      <c r="G60" s="11"/>
      <c r="H60" s="47"/>
      <c r="I60" s="14" t="b">
        <v>0</v>
      </c>
      <c r="J60" s="44"/>
      <c r="K60" s="43" t="b">
        <v>0</v>
      </c>
      <c r="L60" s="44"/>
      <c r="M60" s="43" t="b">
        <v>0</v>
      </c>
      <c r="N60" s="44"/>
      <c r="O60" s="43" t="b">
        <v>0</v>
      </c>
      <c r="P60" s="44"/>
      <c r="Q60" s="14" t="b">
        <v>0</v>
      </c>
      <c r="R60" s="44"/>
      <c r="S60" s="11" t="str">
        <f t="shared" si="0"/>
        <v>Non démarré</v>
      </c>
      <c r="T60" s="16" t="s">
        <v>41</v>
      </c>
      <c r="U60" s="27"/>
      <c r="V60">
        <f t="shared" si="1"/>
        <v>0</v>
      </c>
      <c r="W60">
        <f t="shared" si="2"/>
        <v>0</v>
      </c>
      <c r="X60">
        <f t="shared" si="3"/>
        <v>0</v>
      </c>
      <c r="Y60">
        <f t="shared" si="4"/>
        <v>0</v>
      </c>
      <c r="Z60">
        <f t="shared" si="5"/>
        <v>0</v>
      </c>
    </row>
    <row r="61" spans="1:35" ht="58.5" customHeight="1" x14ac:dyDescent="0.35">
      <c r="A61" s="10">
        <v>26</v>
      </c>
      <c r="B61" t="s">
        <v>258</v>
      </c>
      <c r="C61">
        <v>1500</v>
      </c>
      <c r="D61" t="s">
        <v>259</v>
      </c>
      <c r="E61">
        <v>40483488</v>
      </c>
      <c r="F61" s="41" t="s">
        <v>260</v>
      </c>
      <c r="G61" s="41"/>
      <c r="H61" s="47"/>
      <c r="I61" s="14" t="b">
        <v>0</v>
      </c>
      <c r="J61" s="44"/>
      <c r="K61" s="43" t="b">
        <v>0</v>
      </c>
      <c r="L61" s="44"/>
      <c r="M61" s="43" t="b">
        <v>0</v>
      </c>
      <c r="N61" s="44"/>
      <c r="O61" s="43" t="b">
        <v>0</v>
      </c>
      <c r="P61" s="44"/>
      <c r="Q61" s="14" t="b">
        <v>0</v>
      </c>
      <c r="R61" s="44"/>
      <c r="S61" s="11" t="str">
        <f t="shared" si="0"/>
        <v>Non démarré</v>
      </c>
      <c r="T61" s="16" t="s">
        <v>41</v>
      </c>
      <c r="U61" s="27"/>
      <c r="V61">
        <f t="shared" si="1"/>
        <v>0</v>
      </c>
      <c r="W61">
        <f t="shared" si="2"/>
        <v>0</v>
      </c>
      <c r="X61">
        <f t="shared" si="3"/>
        <v>0</v>
      </c>
      <c r="Y61">
        <f t="shared" si="4"/>
        <v>0</v>
      </c>
      <c r="Z61">
        <f t="shared" si="5"/>
        <v>0</v>
      </c>
    </row>
    <row r="62" spans="1:35" x14ac:dyDescent="0.35">
      <c r="A62" s="10">
        <v>5</v>
      </c>
      <c r="B62" s="11" t="s">
        <v>261</v>
      </c>
      <c r="C62" s="11">
        <v>600</v>
      </c>
      <c r="D62" s="24" t="s">
        <v>262</v>
      </c>
      <c r="E62" s="24">
        <v>58870807</v>
      </c>
      <c r="F62" s="24" t="s">
        <v>263</v>
      </c>
      <c r="G62" s="24"/>
      <c r="H62" s="47"/>
      <c r="I62" s="14" t="b">
        <v>0</v>
      </c>
      <c r="J62" s="44"/>
      <c r="K62" s="43" t="b">
        <v>0</v>
      </c>
      <c r="L62" s="44"/>
      <c r="M62" s="43" t="b">
        <v>0</v>
      </c>
      <c r="N62" s="44"/>
      <c r="O62" s="43" t="b">
        <v>0</v>
      </c>
      <c r="P62" s="44"/>
      <c r="Q62" s="14" t="b">
        <v>0</v>
      </c>
      <c r="R62" s="44"/>
      <c r="S62" s="11" t="str">
        <f t="shared" si="0"/>
        <v>Non démarré</v>
      </c>
      <c r="T62" s="16" t="s">
        <v>41</v>
      </c>
      <c r="U62" s="16"/>
      <c r="V62">
        <f t="shared" si="1"/>
        <v>0</v>
      </c>
      <c r="W62">
        <f t="shared" si="2"/>
        <v>0</v>
      </c>
      <c r="X62">
        <f t="shared" si="3"/>
        <v>0</v>
      </c>
      <c r="Y62">
        <f t="shared" si="4"/>
        <v>0</v>
      </c>
      <c r="Z62">
        <f t="shared" si="5"/>
        <v>0</v>
      </c>
    </row>
    <row r="63" spans="1:35" x14ac:dyDescent="0.35">
      <c r="A63" s="10">
        <v>39</v>
      </c>
      <c r="B63" s="11" t="s">
        <v>264</v>
      </c>
      <c r="C63" s="11">
        <v>250</v>
      </c>
      <c r="D63" s="24" t="s">
        <v>265</v>
      </c>
      <c r="E63" s="24">
        <v>27779095</v>
      </c>
      <c r="F63" s="24"/>
      <c r="G63" s="24"/>
      <c r="H63" s="47"/>
      <c r="I63" s="14" t="b">
        <v>1</v>
      </c>
      <c r="J63" s="44">
        <v>45936</v>
      </c>
      <c r="K63" s="43" t="b">
        <v>1</v>
      </c>
      <c r="L63" s="44">
        <v>45936</v>
      </c>
      <c r="M63" s="43" t="b">
        <v>0</v>
      </c>
      <c r="N63" s="44"/>
      <c r="O63" s="43" t="b">
        <v>0</v>
      </c>
      <c r="P63" s="44"/>
      <c r="Q63" s="14" t="b">
        <v>0</v>
      </c>
      <c r="R63" s="44"/>
      <c r="S63" s="11" t="str">
        <f t="shared" si="0"/>
        <v>En cours</v>
      </c>
      <c r="T63" s="16"/>
      <c r="U63" s="16"/>
      <c r="V63">
        <f t="shared" si="1"/>
        <v>1</v>
      </c>
      <c r="W63">
        <f t="shared" si="2"/>
        <v>1</v>
      </c>
      <c r="X63">
        <f t="shared" si="3"/>
        <v>0</v>
      </c>
      <c r="Y63">
        <f t="shared" si="4"/>
        <v>0</v>
      </c>
      <c r="Z63">
        <f t="shared" si="5"/>
        <v>0</v>
      </c>
    </row>
    <row r="64" spans="1:35" x14ac:dyDescent="0.35">
      <c r="A64" s="10">
        <v>40</v>
      </c>
      <c r="B64" s="11" t="s">
        <v>266</v>
      </c>
      <c r="C64" s="11">
        <v>2500</v>
      </c>
      <c r="D64" s="24" t="s">
        <v>267</v>
      </c>
      <c r="E64" s="24">
        <v>52023488</v>
      </c>
      <c r="F64" s="24"/>
      <c r="G64" s="24"/>
      <c r="H64" s="47"/>
      <c r="I64" s="14" t="b">
        <v>1</v>
      </c>
      <c r="J64" s="44">
        <v>45936</v>
      </c>
      <c r="K64" s="43" t="b">
        <v>1</v>
      </c>
      <c r="L64" s="44">
        <v>45936</v>
      </c>
      <c r="M64" s="43" t="b">
        <v>0</v>
      </c>
      <c r="N64" s="44"/>
      <c r="O64" s="43" t="b">
        <v>0</v>
      </c>
      <c r="P64" s="44"/>
      <c r="Q64" s="14" t="b">
        <v>0</v>
      </c>
      <c r="R64" s="44"/>
      <c r="S64" s="11" t="str">
        <f t="shared" si="0"/>
        <v>En cours</v>
      </c>
      <c r="T64" s="16"/>
      <c r="U64" s="16"/>
      <c r="V64">
        <f t="shared" si="1"/>
        <v>1</v>
      </c>
      <c r="W64">
        <f t="shared" si="2"/>
        <v>1</v>
      </c>
      <c r="X64">
        <f t="shared" si="3"/>
        <v>0</v>
      </c>
      <c r="Y64">
        <f t="shared" si="4"/>
        <v>0</v>
      </c>
      <c r="Z64">
        <f t="shared" si="5"/>
        <v>0</v>
      </c>
    </row>
    <row r="65" spans="1:26" x14ac:dyDescent="0.35">
      <c r="A65" s="10">
        <v>41</v>
      </c>
      <c r="B65" t="s">
        <v>268</v>
      </c>
      <c r="C65" t="s">
        <v>269</v>
      </c>
      <c r="D65" t="s">
        <v>270</v>
      </c>
      <c r="E65" t="s">
        <v>271</v>
      </c>
      <c r="F65" s="24"/>
      <c r="G65" s="24"/>
      <c r="H65" s="47"/>
      <c r="I65" s="14" t="b">
        <v>0</v>
      </c>
      <c r="J65" s="41"/>
      <c r="K65" s="43" t="b">
        <v>0</v>
      </c>
      <c r="L65" s="44"/>
      <c r="M65" s="43" t="b">
        <v>0</v>
      </c>
      <c r="N65" s="44"/>
      <c r="O65" s="43" t="b">
        <v>0</v>
      </c>
      <c r="P65" s="44"/>
      <c r="Q65" s="14" t="b">
        <v>0</v>
      </c>
      <c r="R65" s="44"/>
      <c r="S65" s="11" t="str">
        <f t="shared" si="0"/>
        <v>Non démarré</v>
      </c>
      <c r="T65" s="16"/>
      <c r="U65" s="16"/>
      <c r="V65">
        <f t="shared" si="1"/>
        <v>0</v>
      </c>
      <c r="W65">
        <f t="shared" si="2"/>
        <v>0</v>
      </c>
      <c r="X65">
        <f t="shared" si="3"/>
        <v>0</v>
      </c>
      <c r="Y65">
        <f t="shared" si="4"/>
        <v>0</v>
      </c>
      <c r="Z65">
        <f t="shared" si="5"/>
        <v>0</v>
      </c>
    </row>
    <row r="66" spans="1:26" x14ac:dyDescent="0.35">
      <c r="A66" s="10">
        <v>42</v>
      </c>
      <c r="B66" s="11" t="s">
        <v>272</v>
      </c>
      <c r="C66" s="11">
        <v>100</v>
      </c>
      <c r="D66" s="11" t="s">
        <v>273</v>
      </c>
      <c r="E66" s="11"/>
      <c r="F66" s="24"/>
      <c r="G66" s="24"/>
      <c r="H66" s="47"/>
      <c r="I66" s="14" t="b">
        <v>1</v>
      </c>
      <c r="J66" s="44">
        <v>45936</v>
      </c>
      <c r="K66" s="43" t="b">
        <v>1</v>
      </c>
      <c r="L66" s="44">
        <v>45936</v>
      </c>
      <c r="M66" s="43" t="b">
        <v>0</v>
      </c>
      <c r="N66" s="44"/>
      <c r="O66" s="43" t="b">
        <v>0</v>
      </c>
      <c r="P66" s="44"/>
      <c r="Q66" s="14" t="b">
        <v>0</v>
      </c>
      <c r="R66" s="44"/>
      <c r="S66" s="11" t="str">
        <f t="shared" si="0"/>
        <v>En cours</v>
      </c>
      <c r="T66" s="16"/>
      <c r="U66" s="16"/>
      <c r="V66">
        <f t="shared" si="1"/>
        <v>1</v>
      </c>
      <c r="W66">
        <f t="shared" si="2"/>
        <v>1</v>
      </c>
      <c r="X66">
        <f t="shared" si="3"/>
        <v>0</v>
      </c>
      <c r="Y66">
        <f t="shared" si="4"/>
        <v>0</v>
      </c>
      <c r="Z66">
        <f t="shared" si="5"/>
        <v>0</v>
      </c>
    </row>
    <row r="67" spans="1:26" x14ac:dyDescent="0.35">
      <c r="A67" s="10">
        <v>43</v>
      </c>
      <c r="B67" t="s">
        <v>274</v>
      </c>
      <c r="C67" t="s">
        <v>269</v>
      </c>
      <c r="D67" t="s">
        <v>275</v>
      </c>
      <c r="E67" s="11">
        <v>93058622</v>
      </c>
      <c r="F67" s="24"/>
      <c r="G67" s="24"/>
      <c r="H67" s="47"/>
      <c r="I67" s="14" t="b">
        <v>1</v>
      </c>
      <c r="J67" s="44">
        <v>45936</v>
      </c>
      <c r="K67" s="43" t="b">
        <v>1</v>
      </c>
      <c r="L67" s="44">
        <v>45936</v>
      </c>
      <c r="M67" s="43" t="b">
        <v>0</v>
      </c>
      <c r="N67" s="44"/>
      <c r="O67" s="43" t="b">
        <v>0</v>
      </c>
      <c r="P67" s="44"/>
      <c r="Q67" s="14" t="b">
        <v>0</v>
      </c>
      <c r="R67" s="44"/>
      <c r="S67" s="11" t="str">
        <f t="shared" si="0"/>
        <v>En cours</v>
      </c>
      <c r="T67" s="16"/>
      <c r="U67" s="16"/>
      <c r="V67">
        <f t="shared" si="1"/>
        <v>1</v>
      </c>
      <c r="W67">
        <f t="shared" si="2"/>
        <v>1</v>
      </c>
      <c r="X67">
        <f t="shared" si="3"/>
        <v>0</v>
      </c>
      <c r="Y67">
        <f t="shared" si="4"/>
        <v>0</v>
      </c>
      <c r="Z67">
        <f t="shared" si="5"/>
        <v>0</v>
      </c>
    </row>
    <row r="68" spans="1:26" x14ac:dyDescent="0.35">
      <c r="A68" s="10">
        <v>44</v>
      </c>
      <c r="B68" s="11" t="s">
        <v>276</v>
      </c>
      <c r="C68" s="11"/>
      <c r="D68" s="11" t="s">
        <v>277</v>
      </c>
      <c r="E68" s="11">
        <v>21882017</v>
      </c>
      <c r="F68" s="24"/>
      <c r="G68" s="48" t="s">
        <v>278</v>
      </c>
      <c r="H68" s="47"/>
      <c r="I68" s="14" t="b">
        <v>1</v>
      </c>
      <c r="J68" s="44">
        <v>45936</v>
      </c>
      <c r="K68" s="43" t="b">
        <v>0</v>
      </c>
      <c r="L68" s="44"/>
      <c r="M68" s="43" t="b">
        <v>0</v>
      </c>
      <c r="N68" s="44"/>
      <c r="O68" s="43" t="b">
        <v>0</v>
      </c>
      <c r="P68" s="44"/>
      <c r="Q68" s="14" t="b">
        <v>0</v>
      </c>
      <c r="R68" s="44"/>
      <c r="S68" s="11" t="str">
        <f t="shared" si="0"/>
        <v>En cours</v>
      </c>
      <c r="T68" s="16"/>
      <c r="U68" s="16"/>
      <c r="V68">
        <f t="shared" si="1"/>
        <v>1</v>
      </c>
      <c r="W68">
        <f t="shared" si="2"/>
        <v>0</v>
      </c>
      <c r="X68">
        <f t="shared" si="3"/>
        <v>0</v>
      </c>
      <c r="Y68">
        <f t="shared" si="4"/>
        <v>0</v>
      </c>
      <c r="Z68">
        <f t="shared" si="5"/>
        <v>0</v>
      </c>
    </row>
    <row r="69" spans="1:26" x14ac:dyDescent="0.35">
      <c r="A69" s="10">
        <v>45</v>
      </c>
      <c r="B69" t="s">
        <v>279</v>
      </c>
      <c r="D69" t="s">
        <v>280</v>
      </c>
      <c r="E69" t="s">
        <v>281</v>
      </c>
      <c r="F69" s="24"/>
      <c r="G69" s="49"/>
      <c r="H69" s="47"/>
      <c r="I69" s="14" t="b">
        <v>1</v>
      </c>
      <c r="J69" s="44">
        <v>45944</v>
      </c>
      <c r="K69" s="43" t="b">
        <v>1</v>
      </c>
      <c r="L69" s="44">
        <v>45944</v>
      </c>
      <c r="M69" s="43" t="b">
        <v>0</v>
      </c>
      <c r="N69" s="44"/>
      <c r="O69" s="43" t="b">
        <v>0</v>
      </c>
      <c r="P69" s="44"/>
      <c r="Q69" s="14" t="b">
        <v>0</v>
      </c>
      <c r="R69" s="44"/>
      <c r="S69" s="11" t="str">
        <f t="shared" si="0"/>
        <v>En cours</v>
      </c>
      <c r="T69" s="16"/>
      <c r="U69" s="16"/>
      <c r="V69">
        <f t="shared" si="1"/>
        <v>1</v>
      </c>
      <c r="W69">
        <f t="shared" si="2"/>
        <v>1</v>
      </c>
      <c r="X69">
        <f t="shared" si="3"/>
        <v>0</v>
      </c>
      <c r="Y69">
        <f t="shared" si="4"/>
        <v>0</v>
      </c>
      <c r="Z69">
        <f t="shared" si="5"/>
        <v>0</v>
      </c>
    </row>
    <row r="70" spans="1:26" x14ac:dyDescent="0.35">
      <c r="A70" s="10">
        <v>46</v>
      </c>
      <c r="B70" s="11" t="s">
        <v>282</v>
      </c>
      <c r="C70" s="11"/>
      <c r="D70" s="11" t="s">
        <v>283</v>
      </c>
      <c r="E70" s="11">
        <v>21373356</v>
      </c>
      <c r="F70" s="24"/>
      <c r="G70" s="49"/>
      <c r="H70" s="47"/>
      <c r="I70" s="14" t="b">
        <v>1</v>
      </c>
      <c r="J70" s="44">
        <v>45944</v>
      </c>
      <c r="K70" s="43" t="b">
        <v>1</v>
      </c>
      <c r="L70" s="44">
        <v>45944</v>
      </c>
      <c r="M70" s="43" t="b">
        <v>0</v>
      </c>
      <c r="N70" s="44"/>
      <c r="O70" s="43" t="b">
        <v>0</v>
      </c>
      <c r="P70" s="44"/>
      <c r="Q70" s="14" t="b">
        <v>0</v>
      </c>
      <c r="R70" s="44"/>
      <c r="S70" s="11" t="str">
        <f t="shared" si="0"/>
        <v>En cours</v>
      </c>
      <c r="T70" s="16"/>
      <c r="U70" s="16"/>
      <c r="V70">
        <f t="shared" si="1"/>
        <v>1</v>
      </c>
      <c r="W70">
        <f t="shared" si="2"/>
        <v>1</v>
      </c>
      <c r="X70">
        <f t="shared" si="3"/>
        <v>0</v>
      </c>
      <c r="Y70">
        <f t="shared" si="4"/>
        <v>0</v>
      </c>
      <c r="Z70">
        <f t="shared" si="5"/>
        <v>0</v>
      </c>
    </row>
    <row r="71" spans="1:26" ht="29" x14ac:dyDescent="0.35">
      <c r="A71" s="10"/>
      <c r="B71" s="11" t="s">
        <v>284</v>
      </c>
      <c r="C71" s="11"/>
      <c r="D71" s="11" t="s">
        <v>285</v>
      </c>
      <c r="E71" s="11"/>
      <c r="F71" s="24"/>
      <c r="G71" s="49" t="s">
        <v>286</v>
      </c>
      <c r="H71" s="47"/>
      <c r="I71" s="14" t="b">
        <v>1</v>
      </c>
      <c r="J71" s="44">
        <v>46035</v>
      </c>
      <c r="K71" s="43" t="b">
        <v>0</v>
      </c>
      <c r="L71" s="44"/>
      <c r="M71" s="43" t="b">
        <v>0</v>
      </c>
      <c r="N71" s="44"/>
      <c r="O71" s="43" t="b">
        <v>0</v>
      </c>
      <c r="P71" s="44"/>
      <c r="Q71" s="14" t="b">
        <v>0</v>
      </c>
      <c r="R71" s="44"/>
      <c r="S71" s="11" t="str">
        <f t="shared" si="0"/>
        <v>En cours</v>
      </c>
      <c r="T71" s="16"/>
      <c r="U71" s="19" t="s">
        <v>287</v>
      </c>
      <c r="V71">
        <f t="shared" si="1"/>
        <v>1</v>
      </c>
      <c r="W71">
        <f t="shared" si="2"/>
        <v>0</v>
      </c>
      <c r="X71">
        <f t="shared" si="3"/>
        <v>0</v>
      </c>
      <c r="Y71">
        <f t="shared" si="4"/>
        <v>0</v>
      </c>
      <c r="Z71">
        <f t="shared" si="5"/>
        <v>0</v>
      </c>
    </row>
    <row r="72" spans="1:26" ht="29" x14ac:dyDescent="0.35">
      <c r="A72" s="10"/>
      <c r="B72" s="11" t="s">
        <v>288</v>
      </c>
      <c r="C72" s="11"/>
      <c r="D72" t="s">
        <v>289</v>
      </c>
      <c r="E72" s="11">
        <v>20175373</v>
      </c>
      <c r="F72" s="24"/>
      <c r="G72" s="49" t="s">
        <v>290</v>
      </c>
      <c r="H72" s="47"/>
      <c r="I72" s="14" t="b">
        <v>1</v>
      </c>
      <c r="J72" s="44">
        <v>46107</v>
      </c>
      <c r="K72" s="43" t="b">
        <v>1</v>
      </c>
      <c r="L72" s="44">
        <v>46107</v>
      </c>
      <c r="M72" s="43" t="b">
        <v>0</v>
      </c>
      <c r="N72" s="44"/>
      <c r="O72" s="43" t="b">
        <v>0</v>
      </c>
      <c r="P72" s="44"/>
      <c r="Q72" s="14" t="b">
        <v>0</v>
      </c>
      <c r="R72" s="44"/>
      <c r="S72" s="11" t="str">
        <f t="shared" si="0"/>
        <v>En cours</v>
      </c>
      <c r="T72" s="16"/>
      <c r="U72" s="19" t="s">
        <v>291</v>
      </c>
      <c r="V72">
        <f t="shared" si="1"/>
        <v>1</v>
      </c>
      <c r="W72">
        <f t="shared" si="2"/>
        <v>1</v>
      </c>
      <c r="X72">
        <f t="shared" si="3"/>
        <v>0</v>
      </c>
      <c r="Y72">
        <f t="shared" si="4"/>
        <v>0</v>
      </c>
      <c r="Z72">
        <f t="shared" si="5"/>
        <v>0</v>
      </c>
    </row>
    <row r="73" spans="1:26" ht="16" x14ac:dyDescent="0.4">
      <c r="A73" s="10"/>
      <c r="B73" s="11" t="s">
        <v>292</v>
      </c>
      <c r="C73" s="11"/>
      <c r="D73" s="11" t="s">
        <v>293</v>
      </c>
      <c r="E73" s="50">
        <v>98686839</v>
      </c>
      <c r="F73" s="24"/>
      <c r="G73" s="51" t="s">
        <v>294</v>
      </c>
      <c r="H73" s="47"/>
      <c r="I73" s="14" t="b">
        <v>0</v>
      </c>
      <c r="J73" s="41"/>
      <c r="K73" s="43" t="b">
        <v>0</v>
      </c>
      <c r="L73" s="44"/>
      <c r="M73" s="43" t="b">
        <v>0</v>
      </c>
      <c r="N73" s="44"/>
      <c r="O73" s="43" t="b">
        <v>0</v>
      </c>
      <c r="P73" s="44"/>
      <c r="Q73" s="14" t="b">
        <v>0</v>
      </c>
      <c r="R73" s="44"/>
      <c r="S73" s="11" t="str">
        <f t="shared" si="0"/>
        <v>Non démarré</v>
      </c>
      <c r="T73" s="16"/>
      <c r="U73" s="19"/>
      <c r="V73">
        <f t="shared" si="1"/>
        <v>0</v>
      </c>
      <c r="W73">
        <f t="shared" si="2"/>
        <v>0</v>
      </c>
      <c r="X73">
        <f t="shared" si="3"/>
        <v>0</v>
      </c>
      <c r="Y73">
        <f t="shared" si="4"/>
        <v>0</v>
      </c>
      <c r="Z73">
        <f t="shared" si="5"/>
        <v>0</v>
      </c>
    </row>
    <row r="74" spans="1:26" ht="16" x14ac:dyDescent="0.35">
      <c r="A74" s="10"/>
      <c r="B74" s="52" t="s">
        <v>295</v>
      </c>
      <c r="C74" s="11"/>
      <c r="D74" s="11" t="s">
        <v>296</v>
      </c>
      <c r="E74" s="11"/>
      <c r="F74" s="24"/>
      <c r="G74" s="51" t="s">
        <v>297</v>
      </c>
      <c r="H74" s="47"/>
      <c r="I74" s="14" t="b">
        <v>0</v>
      </c>
      <c r="J74" s="41"/>
      <c r="K74" s="43" t="b">
        <v>0</v>
      </c>
      <c r="L74" s="44"/>
      <c r="M74" s="43" t="b">
        <v>0</v>
      </c>
      <c r="N74" s="44"/>
      <c r="O74" s="43" t="b">
        <v>0</v>
      </c>
      <c r="P74" s="44"/>
      <c r="Q74" s="14" t="b">
        <v>0</v>
      </c>
      <c r="R74" s="44"/>
      <c r="S74" s="11" t="str">
        <f t="shared" si="0"/>
        <v>Non démarré</v>
      </c>
      <c r="T74" s="16"/>
      <c r="U74" s="19"/>
      <c r="V74">
        <f t="shared" si="1"/>
        <v>0</v>
      </c>
      <c r="W74">
        <f t="shared" si="2"/>
        <v>0</v>
      </c>
      <c r="X74">
        <f t="shared" si="3"/>
        <v>0</v>
      </c>
      <c r="Y74">
        <f t="shared" si="4"/>
        <v>0</v>
      </c>
      <c r="Z74">
        <f t="shared" si="5"/>
        <v>0</v>
      </c>
    </row>
    <row r="75" spans="1:26" x14ac:dyDescent="0.35">
      <c r="A75" s="10"/>
      <c r="B75" s="11" t="s">
        <v>298</v>
      </c>
      <c r="C75" s="11"/>
      <c r="D75" s="11" t="s">
        <v>299</v>
      </c>
      <c r="E75" s="11">
        <v>58378818</v>
      </c>
      <c r="F75" s="24"/>
      <c r="G75" s="51" t="s">
        <v>300</v>
      </c>
      <c r="H75" s="47"/>
      <c r="I75" s="14" t="b">
        <v>1</v>
      </c>
      <c r="J75" s="44">
        <v>46128</v>
      </c>
      <c r="K75" s="43" t="b">
        <v>0</v>
      </c>
      <c r="L75" s="44"/>
      <c r="M75" s="43" t="b">
        <v>0</v>
      </c>
      <c r="N75" s="44"/>
      <c r="O75" s="43" t="b">
        <v>0</v>
      </c>
      <c r="P75" s="44"/>
      <c r="Q75" s="14" t="b">
        <v>0</v>
      </c>
      <c r="R75" s="44"/>
      <c r="S75" s="11" t="str">
        <f t="shared" si="0"/>
        <v>En cours</v>
      </c>
      <c r="T75" s="16"/>
      <c r="U75" s="19"/>
      <c r="V75">
        <f t="shared" si="1"/>
        <v>1</v>
      </c>
      <c r="W75">
        <f t="shared" si="2"/>
        <v>0</v>
      </c>
      <c r="X75">
        <f t="shared" si="3"/>
        <v>0</v>
      </c>
      <c r="Y75">
        <f t="shared" si="4"/>
        <v>0</v>
      </c>
      <c r="Z75">
        <f t="shared" si="5"/>
        <v>0</v>
      </c>
    </row>
    <row r="76" spans="1:26" ht="29.5" x14ac:dyDescent="0.4">
      <c r="A76" s="10"/>
      <c r="B76" s="53" t="s">
        <v>301</v>
      </c>
      <c r="C76" s="11"/>
      <c r="D76" t="s">
        <v>302</v>
      </c>
      <c r="E76" t="s">
        <v>303</v>
      </c>
      <c r="F76" s="24"/>
      <c r="G76" s="54" t="s">
        <v>304</v>
      </c>
      <c r="H76" s="47"/>
      <c r="I76" s="14" t="b">
        <v>1</v>
      </c>
      <c r="J76" s="44">
        <v>46035</v>
      </c>
      <c r="K76" s="43" t="b">
        <v>1</v>
      </c>
      <c r="L76" s="44">
        <v>46104</v>
      </c>
      <c r="M76" s="43" t="b">
        <v>0</v>
      </c>
      <c r="N76" s="44"/>
      <c r="O76" s="43" t="b">
        <v>0</v>
      </c>
      <c r="P76" s="44"/>
      <c r="Q76" s="14" t="b">
        <v>0</v>
      </c>
      <c r="R76" s="44"/>
      <c r="S76" s="11" t="str">
        <f t="shared" si="0"/>
        <v>En cours</v>
      </c>
      <c r="T76" s="16"/>
      <c r="U76" s="19" t="s">
        <v>305</v>
      </c>
      <c r="V76">
        <f t="shared" si="1"/>
        <v>1</v>
      </c>
      <c r="W76">
        <f t="shared" si="2"/>
        <v>1</v>
      </c>
      <c r="X76">
        <f t="shared" si="3"/>
        <v>0</v>
      </c>
      <c r="Y76">
        <f t="shared" si="4"/>
        <v>0</v>
      </c>
      <c r="Z76">
        <f t="shared" si="5"/>
        <v>0</v>
      </c>
    </row>
    <row r="77" spans="1:26" x14ac:dyDescent="0.35">
      <c r="A77" s="40"/>
      <c r="H77" s="41"/>
      <c r="I77" s="43"/>
      <c r="J77" s="41"/>
      <c r="K77" s="43"/>
      <c r="L77" s="44"/>
      <c r="M77" s="43"/>
      <c r="N77" s="44"/>
      <c r="O77" s="43"/>
      <c r="P77" s="44"/>
      <c r="Q77" s="43"/>
      <c r="R77" s="44"/>
      <c r="S77" s="41"/>
      <c r="T77" s="45"/>
      <c r="U77" s="45"/>
    </row>
  </sheetData>
  <conditionalFormatting sqref="H14:H76">
    <cfRule type="containsText" dxfId="52" priority="7" operator="containsText" text="🔥 Hot">
      <formula>NOT(ISERROR(SEARCH("🔥 Hot",H14)))</formula>
    </cfRule>
    <cfRule type="containsText" dxfId="51" priority="8" operator="containsText" text="♨ Warm">
      <formula>NOT(ISERROR(SEARCH("♨ Warm",H14)))</formula>
    </cfRule>
    <cfRule type="containsText" dxfId="50" priority="9" operator="containsText" text="❄ Cold">
      <formula>NOT(ISERROR(SEARCH("❄ Cold",H14)))</formula>
    </cfRule>
  </conditionalFormatting>
  <conditionalFormatting sqref="H14:H76">
    <cfRule type="containsText" dxfId="49" priority="6" operator="containsText" text="👍 Won">
      <formula>NOT(ISERROR(SEARCH("👍 Won",H14)))</formula>
    </cfRule>
  </conditionalFormatting>
  <conditionalFormatting sqref="T14:T76">
    <cfRule type="cellIs" dxfId="48" priority="5" operator="equal">
      <formula>"convention encours"</formula>
    </cfRule>
  </conditionalFormatting>
  <conditionalFormatting sqref="T14:T76">
    <cfRule type="cellIs" dxfId="47" priority="4" operator="equal">
      <formula>"nvx prospect"</formula>
    </cfRule>
  </conditionalFormatting>
  <conditionalFormatting sqref="S14:S76">
    <cfRule type="cellIs" dxfId="46" priority="3" operator="equal">
      <formula>"Clôturé"</formula>
    </cfRule>
  </conditionalFormatting>
  <conditionalFormatting sqref="S14:S76">
    <cfRule type="cellIs" dxfId="45" priority="2" operator="equal">
      <formula>"En cours"</formula>
    </cfRule>
  </conditionalFormatting>
  <conditionalFormatting sqref="S14:S76">
    <cfRule type="cellIs" dxfId="44" priority="1" operator="equal">
      <formula>"Non démarré"</formula>
    </cfRule>
  </conditionalFormatting>
  <conditionalFormatting sqref="S14:T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17" r:id="rId1" xr:uid="{91162E85-E3F3-4046-A80E-90C377604CFF}"/>
    <hyperlink ref="G15" r:id="rId2" xr:uid="{A8B1D152-409F-439B-A9D9-A364A143A6ED}"/>
    <hyperlink ref="G20" r:id="rId3" display="mailto:Mohamednejib.sakka@groupedelice.com.tn" xr:uid="{54876375-AA01-4800-AB5E-682AF0A766E9}"/>
    <hyperlink ref="G14" r:id="rId4" xr:uid="{048981C8-C64A-40E3-A917-23F79D4D7F6F}"/>
    <hyperlink ref="G37" r:id="rId5" xr:uid="{BB35ECDD-8088-433B-9F75-91B62EAAC8CC}"/>
    <hyperlink ref="G27" r:id="rId6" xr:uid="{71CC29AE-A1F2-4D4B-864F-A13675949909}"/>
    <hyperlink ref="G23" r:id="rId7" xr:uid="{C0C49E59-7B70-4A67-BC1D-32C95FCF97A3}"/>
    <hyperlink ref="G31" r:id="rId8" display="mailto:imed.smida@leoni.com" xr:uid="{A1D6122C-65F7-487E-A940-F1F8F5C8A8FB}"/>
    <hyperlink ref="G22" r:id="rId9" display="mailto:omar.belhadjamor@gmail.com" xr:uid="{11076171-54C8-409E-8DE3-3B89E84F84DF}"/>
    <hyperlink ref="G24" r:id="rId10" xr:uid="{DC07F34A-CA30-4B15-A53E-7EEBC1A70239}"/>
    <hyperlink ref="G33" r:id="rId11" xr:uid="{9606C009-D6CB-4DDD-8DEE-1734AB84D6DD}"/>
    <hyperlink ref="G35" r:id="rId12" display="mailto:ksaierriadh@gmail.com" xr:uid="{D92424F1-41D3-4555-A71E-C68F59CEB642}"/>
    <hyperlink ref="G18" r:id="rId13" xr:uid="{CA697A20-A802-4803-A9F2-F29A2AC040B7}"/>
    <hyperlink ref="G40" r:id="rId14" xr:uid="{29B8C18A-897E-445C-A253-2ABE28CBF465}"/>
    <hyperlink ref="G68" r:id="rId15" display="mailto:Khelifiwahiba17@gmail.com" xr:uid="{EE7376DF-F3AA-4944-8D3F-26D263F298B7}"/>
    <hyperlink ref="G75" r:id="rId16" xr:uid="{BEC6D0ED-AB43-4A44-94FE-C6064C873ED5}"/>
    <hyperlink ref="G73" r:id="rId17" xr:uid="{9988DC43-7EBD-4DCD-BC2F-E746FF969157}"/>
    <hyperlink ref="G74" r:id="rId18" display="mailto:Heni.Benhmida@discovertunisia.com" xr:uid="{D499D735-1C68-454F-9DC0-91ABB5C8F817}"/>
    <hyperlink ref="G72" r:id="rId19" xr:uid="{543E785D-A074-4E8C-BC7D-3D6DC605C926}"/>
  </hyperlinks>
  <pageMargins left="0.7" right="0.7" top="0.75" bottom="0.75" header="0.3" footer="0.3"/>
  <pageSetup paperSize="9" orientation="portrait" r:id="rId20"/>
  <drawing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convention en cours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2026-07-02T10:47:29Z</dcterms:created>
  <dcterms:modified xsi:type="dcterms:W3CDTF">2026-07-02T10:48:18Z</dcterms:modified>
</cp:coreProperties>
</file>